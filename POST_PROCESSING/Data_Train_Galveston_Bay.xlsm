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690" windowHeight="8565" activeTab="1"/>
  </bookViews>
  <sheets>
    <sheet name="Data Source" sheetId="1" r:id="rId1"/>
    <sheet name="Dataset" sheetId="2" r:id="rId2"/>
    <sheet name="Graph" sheetId="3" r:id="rId3"/>
  </sheets>
  <calcPr calcId="144525"/>
</workbook>
</file>

<file path=xl/sharedStrings.xml><?xml version="1.0" encoding="utf-8"?>
<sst xmlns="http://schemas.openxmlformats.org/spreadsheetml/2006/main" count="50">
  <si>
    <t>Generating synthetic storm for Galveston Bay</t>
  </si>
  <si>
    <t>#storms</t>
  </si>
  <si>
    <t>Resource</t>
  </si>
  <si>
    <t>Names</t>
  </si>
  <si>
    <t>Year</t>
  </si>
  <si>
    <t>Landfall latitude (N)</t>
  </si>
  <si>
    <t>Landfall longitude (E)</t>
  </si>
  <si>
    <t>Distance     to RP      (km)</t>
  </si>
  <si>
    <t>Heading angle(deg)</t>
  </si>
  <si>
    <t>Central Pressure (mb)</t>
  </si>
  <si>
    <r>
      <t xml:space="preserve">Pressure Deficit    </t>
    </r>
    <r>
      <rPr>
        <b/>
        <sz val="10"/>
        <rFont val="SimSun"/>
        <charset val="0"/>
      </rPr>
      <t>△</t>
    </r>
    <r>
      <rPr>
        <b/>
        <sz val="10"/>
        <rFont val="Arial"/>
        <charset val="0"/>
      </rPr>
      <t>P(mb)</t>
    </r>
  </si>
  <si>
    <t>Radius of max storm (km)</t>
  </si>
  <si>
    <t>Radius of max storm (nmile)</t>
  </si>
  <si>
    <t>Forward Speed (knots)</t>
  </si>
  <si>
    <t>Forward Speed    (m/s)</t>
  </si>
  <si>
    <t>Wind Speed (knots)</t>
  </si>
  <si>
    <t>Wind Speed    (m/s)</t>
  </si>
  <si>
    <t>log (pressure)</t>
  </si>
  <si>
    <t>log  (radius)</t>
  </si>
  <si>
    <t>JPMOS</t>
  </si>
  <si>
    <t>Elena</t>
  </si>
  <si>
    <t>Juan</t>
  </si>
  <si>
    <t>kate</t>
  </si>
  <si>
    <t>Erin</t>
  </si>
  <si>
    <t>Georges</t>
  </si>
  <si>
    <t>Irish2010</t>
  </si>
  <si>
    <t>Andrew</t>
  </si>
  <si>
    <t>Opal</t>
  </si>
  <si>
    <t>Lili</t>
  </si>
  <si>
    <t>Ivan</t>
  </si>
  <si>
    <t>Katrina</t>
  </si>
  <si>
    <t>Rita</t>
  </si>
  <si>
    <t>Allen</t>
  </si>
  <si>
    <t>Bret</t>
  </si>
  <si>
    <t>Charley</t>
  </si>
  <si>
    <t>Dennis</t>
  </si>
  <si>
    <t>Wilma</t>
  </si>
  <si>
    <t>NOAA</t>
  </si>
  <si>
    <t>Claudette</t>
  </si>
  <si>
    <t>Humberto</t>
  </si>
  <si>
    <t>Dolly</t>
  </si>
  <si>
    <t>Ike</t>
  </si>
  <si>
    <t>Calculating Heading Angle and forward speed</t>
  </si>
  <si>
    <t>Landfall</t>
  </si>
  <si>
    <t>Point1</t>
  </si>
  <si>
    <t>P2P (km)</t>
  </si>
  <si>
    <t>det(andeg)</t>
  </si>
  <si>
    <t>Hangl(+-)</t>
  </si>
  <si>
    <t>For(m/s)</t>
  </si>
  <si>
    <t>Irish</t>
  </si>
</sst>
</file>

<file path=xl/styles.xml><?xml version="1.0" encoding="utf-8"?>
<styleSheet xmlns="http://schemas.openxmlformats.org/spreadsheetml/2006/main">
  <numFmts count="6">
    <numFmt numFmtId="176" formatCode="0.0_ "/>
    <numFmt numFmtId="177" formatCode="0.0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8">
    <font>
      <sz val="12"/>
      <name val="宋体"/>
      <charset val="0"/>
    </font>
    <font>
      <b/>
      <sz val="10"/>
      <name val="Arial"/>
      <charset val="0"/>
    </font>
    <font>
      <b/>
      <sz val="10"/>
      <name val="Arial"/>
      <charset val="134"/>
    </font>
    <font>
      <b/>
      <sz val="10"/>
      <color rgb="FF000000"/>
      <name val="Arial"/>
      <charset val="134"/>
    </font>
    <font>
      <b/>
      <sz val="10"/>
      <color rgb="FFFF0000"/>
      <name val="Arial"/>
      <charset val="0"/>
    </font>
    <font>
      <b/>
      <sz val="10"/>
      <color rgb="FFFF0000"/>
      <name val="Arial"/>
      <charset val="134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name val="Arial"/>
      <charset val="134"/>
    </font>
    <font>
      <b/>
      <sz val="10"/>
      <name val="SimSun"/>
      <charset val="0"/>
    </font>
  </fonts>
  <fills count="33">
    <fill>
      <patternFill patternType="none"/>
    </fill>
    <fill>
      <patternFill patternType="gray125"/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15" borderId="5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1" fillId="22" borderId="7" applyNumberFormat="0" applyAlignment="0" applyProtection="0">
      <alignment vertical="center"/>
    </xf>
    <xf numFmtId="0" fontId="20" fillId="22" borderId="3" applyNumberFormat="0" applyAlignment="0" applyProtection="0">
      <alignment vertical="center"/>
    </xf>
    <xf numFmtId="0" fontId="6" fillId="2" borderId="2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6" fillId="0" borderId="0">
      <alignment vertical="top"/>
    </xf>
  </cellStyleXfs>
  <cellXfs count="22">
    <xf numFmtId="0" fontId="0" fillId="0" borderId="0" xfId="0">
      <alignment vertical="center"/>
    </xf>
    <xf numFmtId="0" fontId="1" fillId="0" borderId="0" xfId="0" applyFont="1" applyBorder="1" applyAlignment="1">
      <alignment horizontal="center" vertical="center"/>
    </xf>
    <xf numFmtId="177" fontId="1" fillId="0" borderId="0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1" xfId="0" applyNumberFormat="1" applyFont="1" applyBorder="1" applyAlignment="1">
      <alignment horizontal="center" vertical="center"/>
    </xf>
    <xf numFmtId="177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0" fontId="2" fillId="0" borderId="1" xfId="49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/>
    </xf>
    <xf numFmtId="0" fontId="3" fillId="0" borderId="1" xfId="49" applyFont="1" applyBorder="1" applyAlignment="1">
      <alignment horizontal="center" vertical="top" wrapText="1"/>
    </xf>
    <xf numFmtId="0" fontId="3" fillId="0" borderId="1" xfId="49" applyFont="1" applyBorder="1" applyAlignment="1">
      <alignment horizontal="center" vertical="top"/>
    </xf>
    <xf numFmtId="176" fontId="4" fillId="0" borderId="1" xfId="0" applyNumberFormat="1" applyFont="1" applyBorder="1" applyAlignment="1">
      <alignment horizontal="center" vertical="center" wrapText="1"/>
    </xf>
    <xf numFmtId="177" fontId="2" fillId="0" borderId="1" xfId="49" applyNumberFormat="1" applyFont="1" applyBorder="1" applyAlignment="1">
      <alignment horizontal="center" vertical="top"/>
    </xf>
    <xf numFmtId="176" fontId="1" fillId="0" borderId="1" xfId="0" applyNumberFormat="1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vertical="center" wrapText="1"/>
    </xf>
    <xf numFmtId="0" fontId="2" fillId="0" borderId="1" xfId="49" applyNumberFormat="1" applyFont="1" applyBorder="1" applyAlignment="1">
      <alignment horizontal="center" vertical="top"/>
    </xf>
    <xf numFmtId="177" fontId="4" fillId="0" borderId="1" xfId="0" applyNumberFormat="1" applyFont="1" applyBorder="1" applyAlignment="1">
      <alignment horizontal="center" vertical="center"/>
    </xf>
    <xf numFmtId="0" fontId="2" fillId="0" borderId="1" xfId="49" applyFont="1" applyBorder="1" applyAlignment="1">
      <alignment horizontal="center" vertical="top"/>
    </xf>
    <xf numFmtId="0" fontId="5" fillId="0" borderId="1" xfId="49" applyFont="1" applyBorder="1" applyAlignment="1">
      <alignment horizontal="center" vertical="top"/>
    </xf>
    <xf numFmtId="0" fontId="3" fillId="0" borderId="1" xfId="49" applyFont="1" applyBorder="1" applyAlignment="1">
      <alignment horizontal="center" vertical="center" wrapText="1"/>
    </xf>
    <xf numFmtId="176" fontId="3" fillId="0" borderId="1" xfId="49" applyNumberFormat="1" applyFont="1" applyBorder="1" applyAlignment="1">
      <alignment horizontal="center"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Normal" xfId="49"/>
  </cellStyles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RMW of Hurricane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spPr>
            <a:solidFill>
              <a:schemeClr val="tx1"/>
            </a:solidFill>
            <a:ln w="28575">
              <a:noFill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</c:marker>
          <c:dLbls>
            <c:numFmt formatCode="General" sourceLinked="1"/>
            <c:txPr>
              <a:bodyPr rot="0" spcFirstLastPara="0" vertOverflow="ellipsis" horzOverflow="overflow" vert="horz" wrap="square" anchor="ctr" anchorCtr="1"/>
              <a:lstStyle/>
              <a:p>
                <a:pPr>
                  <a:defRPr/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>
                      <a:noFill/>
                    </a:ln>
                    <a:effectLst/>
                  </c:spPr>
                </c15:leaderLines>
              </c:ext>
            </c:extLst>
          </c:dLbls>
          <c:xVal>
            <c:numRef>
              <c:f>'Data Source'!$E$6:$E$25</c:f>
              <c:numCache>
                <c:formatCode>General</c:formatCode>
                <c:ptCount val="20"/>
                <c:pt idx="0" c:formatCode="General">
                  <c:v>1985</c:v>
                </c:pt>
                <c:pt idx="1" c:formatCode="General">
                  <c:v>1985</c:v>
                </c:pt>
                <c:pt idx="2" c:formatCode="General">
                  <c:v>1985</c:v>
                </c:pt>
                <c:pt idx="3" c:formatCode="General">
                  <c:v>1995</c:v>
                </c:pt>
                <c:pt idx="4" c:formatCode="General">
                  <c:v>1998</c:v>
                </c:pt>
                <c:pt idx="5" c:formatCode="General">
                  <c:v>1992</c:v>
                </c:pt>
                <c:pt idx="6" c:formatCode="General">
                  <c:v>1995</c:v>
                </c:pt>
                <c:pt idx="7" c:formatCode="General">
                  <c:v>2002</c:v>
                </c:pt>
                <c:pt idx="8" c:formatCode="General">
                  <c:v>2004</c:v>
                </c:pt>
                <c:pt idx="9" c:formatCode="General">
                  <c:v>2005</c:v>
                </c:pt>
                <c:pt idx="10" c:formatCode="General">
                  <c:v>2005</c:v>
                </c:pt>
                <c:pt idx="11" c:formatCode="General">
                  <c:v>1980</c:v>
                </c:pt>
                <c:pt idx="12" c:formatCode="General">
                  <c:v>1999</c:v>
                </c:pt>
                <c:pt idx="13" c:formatCode="General">
                  <c:v>2004</c:v>
                </c:pt>
                <c:pt idx="14" c:formatCode="General">
                  <c:v>2005</c:v>
                </c:pt>
                <c:pt idx="15" c:formatCode="General">
                  <c:v>2005</c:v>
                </c:pt>
                <c:pt idx="16" c:formatCode="General">
                  <c:v>2003</c:v>
                </c:pt>
                <c:pt idx="17" c:formatCode="General">
                  <c:v>2007</c:v>
                </c:pt>
                <c:pt idx="18" c:formatCode="General">
                  <c:v>2008</c:v>
                </c:pt>
                <c:pt idx="19" c:formatCode="General">
                  <c:v>2008</c:v>
                </c:pt>
              </c:numCache>
            </c:numRef>
          </c:xVal>
          <c:yVal>
            <c:numRef>
              <c:f>'Data Source'!$M$6:$M$25</c:f>
              <c:numCache>
                <c:formatCode>General</c:formatCode>
                <c:ptCount val="20"/>
                <c:pt idx="0" c:formatCode="General">
                  <c:v>13</c:v>
                </c:pt>
                <c:pt idx="1" c:formatCode="General">
                  <c:v>16</c:v>
                </c:pt>
                <c:pt idx="2" c:formatCode="General">
                  <c:v>28</c:v>
                </c:pt>
                <c:pt idx="3" c:formatCode="General">
                  <c:v>33</c:v>
                </c:pt>
                <c:pt idx="4" c:formatCode="General">
                  <c:v>50</c:v>
                </c:pt>
                <c:pt idx="5" c:formatCode="0.00_ ">
                  <c:v>16.19871</c:v>
                </c:pt>
                <c:pt idx="6" c:formatCode="0.00_ ">
                  <c:v>37.257033</c:v>
                </c:pt>
                <c:pt idx="7" c:formatCode="0.00_ ">
                  <c:v>15.118796</c:v>
                </c:pt>
                <c:pt idx="8" c:formatCode="0.00_ ">
                  <c:v>30.237592</c:v>
                </c:pt>
                <c:pt idx="9" c:formatCode="0.00_ ">
                  <c:v>25.377979</c:v>
                </c:pt>
                <c:pt idx="10" c:formatCode="0.00_ ">
                  <c:v>21.59828</c:v>
                </c:pt>
                <c:pt idx="11" c:formatCode="0.00_ ">
                  <c:v>19.978409</c:v>
                </c:pt>
                <c:pt idx="12" c:formatCode="0.00_ ">
                  <c:v>10.259183</c:v>
                </c:pt>
                <c:pt idx="13" c:formatCode="0.00_ ">
                  <c:v>10.259183</c:v>
                </c:pt>
                <c:pt idx="14" c:formatCode="0.00_ ">
                  <c:v>5.939527</c:v>
                </c:pt>
                <c:pt idx="15" c:formatCode="0.00_ ">
                  <c:v>39.416861</c:v>
                </c:pt>
                <c:pt idx="16" c:formatCode="General">
                  <c:v>15</c:v>
                </c:pt>
                <c:pt idx="17" c:formatCode="General">
                  <c:v>15</c:v>
                </c:pt>
                <c:pt idx="18" c:formatCode="General">
                  <c:v>20</c:v>
                </c:pt>
                <c:pt idx="19" c:formatCode="General">
                  <c:v>30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8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 val="autoZero"/>
        <c:crossBetween val="midCat"/>
        <c:majorUnit val="3"/>
        <c:minorUnit val="1"/>
      </c:valAx>
      <c:valAx>
        <c:axId val="1"/>
        <c:scaling>
          <c:orientation val="minMax"/>
          <c:max val="40"/>
          <c:min val="0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Radius of Maximum Wind (nmile)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3175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1940"/>
        <c:crossBetween val="midCat"/>
        <c:majorUnit val="5"/>
        <c:minorUnit val="0.5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landfall location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2"/>
          <c:order val="0"/>
          <c:tx>
            <c:strRef>
              <c:f>"cc"</c:f>
              <c:strCache>
                <c:ptCount val="1"/>
                <c:pt idx="0">
                  <c:v>cc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triangle"/>
            <c:size val="7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  <a:effectLst/>
            </c:spPr>
          </c:marker>
          <c:dLbls>
            <c:numFmt formatCode="General" sourceLinked="1"/>
            <c:txPr>
              <a:bodyPr rot="0" spcFirstLastPara="0" vertOverflow="ellipsis" horzOverflow="overflow" vert="horz" wrap="square" anchor="ctr" anchorCtr="1"/>
              <a:lstStyle/>
              <a:p>
                <a:pPr>
                  <a:defRPr/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>
                      <a:noFill/>
                    </a:ln>
                    <a:effectLst/>
                  </c:spPr>
                </c15:leaderLines>
              </c:ext>
            </c:extLst>
          </c:dLbls>
          <c:xVal>
            <c:numRef>
              <c:f>'Data Source'!$G$6:$G$25</c:f>
              <c:numCache>
                <c:formatCode>0.00_ </c:formatCode>
                <c:ptCount val="20"/>
                <c:pt idx="0">
                  <c:v>-89.1</c:v>
                </c:pt>
                <c:pt idx="1">
                  <c:v>-92</c:v>
                </c:pt>
                <c:pt idx="2">
                  <c:v>-85.4</c:v>
                </c:pt>
                <c:pt idx="3">
                  <c:v>-87.2</c:v>
                </c:pt>
                <c:pt idx="4">
                  <c:v>-88.9</c:v>
                </c:pt>
                <c:pt idx="5">
                  <c:v>-91.4</c:v>
                </c:pt>
                <c:pt idx="6">
                  <c:v>-87.1</c:v>
                </c:pt>
                <c:pt idx="7">
                  <c:v>-92.2</c:v>
                </c:pt>
                <c:pt idx="8">
                  <c:v>-87.9</c:v>
                </c:pt>
                <c:pt idx="9">
                  <c:v>-89.6</c:v>
                </c:pt>
                <c:pt idx="10">
                  <c:v>-93.8</c:v>
                </c:pt>
                <c:pt idx="11">
                  <c:v>-96.8</c:v>
                </c:pt>
                <c:pt idx="12">
                  <c:v>-96.8</c:v>
                </c:pt>
                <c:pt idx="13">
                  <c:v>-82.16</c:v>
                </c:pt>
                <c:pt idx="14">
                  <c:v>-86.9</c:v>
                </c:pt>
                <c:pt idx="15">
                  <c:v>-81.69</c:v>
                </c:pt>
                <c:pt idx="16">
                  <c:v>-96.22</c:v>
                </c:pt>
                <c:pt idx="17">
                  <c:v>-94.4</c:v>
                </c:pt>
                <c:pt idx="18">
                  <c:v>-96.8</c:v>
                </c:pt>
                <c:pt idx="19">
                  <c:v>-94.7</c:v>
                </c:pt>
              </c:numCache>
            </c:numRef>
          </c:xVal>
          <c:yVal>
            <c:numRef>
              <c:f>'Data Source'!$F$6:$F$25</c:f>
              <c:numCache>
                <c:formatCode>0.00_ </c:formatCode>
                <c:ptCount val="20"/>
                <c:pt idx="0">
                  <c:v>30.3</c:v>
                </c:pt>
                <c:pt idx="1">
                  <c:v>29.5</c:v>
                </c:pt>
                <c:pt idx="2">
                  <c:v>29.9</c:v>
                </c:pt>
                <c:pt idx="3">
                  <c:v>30.3</c:v>
                </c:pt>
                <c:pt idx="4">
                  <c:v>30.4</c:v>
                </c:pt>
                <c:pt idx="5">
                  <c:v>29.3</c:v>
                </c:pt>
                <c:pt idx="6">
                  <c:v>30.3</c:v>
                </c:pt>
                <c:pt idx="7">
                  <c:v>29.5</c:v>
                </c:pt>
                <c:pt idx="8">
                  <c:v>30.3</c:v>
                </c:pt>
                <c:pt idx="9">
                  <c:v>29.7</c:v>
                </c:pt>
                <c:pt idx="10">
                  <c:v>29.7</c:v>
                </c:pt>
                <c:pt idx="11">
                  <c:v>25.79</c:v>
                </c:pt>
                <c:pt idx="12">
                  <c:v>26.59</c:v>
                </c:pt>
                <c:pt idx="13">
                  <c:v>26.55</c:v>
                </c:pt>
                <c:pt idx="14">
                  <c:v>29.88</c:v>
                </c:pt>
                <c:pt idx="15">
                  <c:v>25.89</c:v>
                </c:pt>
                <c:pt idx="16">
                  <c:v>28.31</c:v>
                </c:pt>
                <c:pt idx="17">
                  <c:v>29.5</c:v>
                </c:pt>
                <c:pt idx="18">
                  <c:v>25.99</c:v>
                </c:pt>
                <c:pt idx="19">
                  <c:v>29.3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-80"/>
          <c:min val="-10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2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longitude(E)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At val="23"/>
        <c:crossBetween val="midCat"/>
        <c:majorUnit val="2"/>
        <c:minorUnit val="0.5"/>
      </c:valAx>
      <c:valAx>
        <c:axId val="1"/>
        <c:scaling>
          <c:orientation val="minMax"/>
          <c:max val="32"/>
          <c:min val="23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2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latitude(N)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-100"/>
        <c:crossBetween val="midCat"/>
        <c:majorUnit val="1"/>
        <c:minorUnit val="0.5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Forward Speed of Hurricane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"ehhe"</c:f>
              <c:strCache>
                <c:ptCount val="1"/>
                <c:pt idx="0">
                  <c:v>ehhe</c:v>
                </c:pt>
              </c:strCache>
            </c:strRef>
          </c:tx>
          <c:spPr>
            <a:noFill/>
            <a:ln w="28575">
              <a:noFill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spPr>
              <a:noFill/>
              <a:ln>
                <a:noFill/>
              </a:ln>
              <a:effectLst/>
            </c:spPr>
          </c:dPt>
          <c:xVal>
            <c:numRef>
              <c:f>'Data Source'!$E$6:$E$25</c:f>
              <c:numCache>
                <c:formatCode>General</c:formatCode>
                <c:ptCount val="20"/>
                <c:pt idx="0" c:formatCode="General">
                  <c:v>1985</c:v>
                </c:pt>
                <c:pt idx="1" c:formatCode="General">
                  <c:v>1985</c:v>
                </c:pt>
                <c:pt idx="2" c:formatCode="General">
                  <c:v>1985</c:v>
                </c:pt>
                <c:pt idx="3" c:formatCode="General">
                  <c:v>1995</c:v>
                </c:pt>
                <c:pt idx="4" c:formatCode="General">
                  <c:v>1998</c:v>
                </c:pt>
                <c:pt idx="5" c:formatCode="General">
                  <c:v>1992</c:v>
                </c:pt>
                <c:pt idx="6" c:formatCode="General">
                  <c:v>1995</c:v>
                </c:pt>
                <c:pt idx="7" c:formatCode="General">
                  <c:v>2002</c:v>
                </c:pt>
                <c:pt idx="8" c:formatCode="General">
                  <c:v>2004</c:v>
                </c:pt>
                <c:pt idx="9" c:formatCode="General">
                  <c:v>2005</c:v>
                </c:pt>
                <c:pt idx="10" c:formatCode="General">
                  <c:v>2005</c:v>
                </c:pt>
                <c:pt idx="11" c:formatCode="General">
                  <c:v>1980</c:v>
                </c:pt>
                <c:pt idx="12" c:formatCode="General">
                  <c:v>1999</c:v>
                </c:pt>
                <c:pt idx="13" c:formatCode="General">
                  <c:v>2004</c:v>
                </c:pt>
                <c:pt idx="14" c:formatCode="General">
                  <c:v>2005</c:v>
                </c:pt>
                <c:pt idx="15" c:formatCode="General">
                  <c:v>2005</c:v>
                </c:pt>
                <c:pt idx="16" c:formatCode="General">
                  <c:v>2003</c:v>
                </c:pt>
                <c:pt idx="17" c:formatCode="General">
                  <c:v>2007</c:v>
                </c:pt>
                <c:pt idx="18" c:formatCode="General">
                  <c:v>2008</c:v>
                </c:pt>
                <c:pt idx="19" c:formatCode="General">
                  <c:v>2008</c:v>
                </c:pt>
              </c:numCache>
            </c:numRef>
          </c:xVal>
          <c:yVal>
            <c:numRef>
              <c:f>'Data Source'!$N$6:$N$25</c:f>
              <c:numCache>
                <c:formatCode>0.0_ </c:formatCode>
                <c:ptCount val="20"/>
                <c:pt idx="0">
                  <c:v>15</c:v>
                </c:pt>
                <c:pt idx="1">
                  <c:v>8.6</c:v>
                </c:pt>
                <c:pt idx="2">
                  <c:v>14.4</c:v>
                </c:pt>
                <c:pt idx="3">
                  <c:v>11</c:v>
                </c:pt>
                <c:pt idx="4">
                  <c:v>4.1</c:v>
                </c:pt>
                <c:pt idx="5">
                  <c:v>10.9</c:v>
                </c:pt>
                <c:pt idx="6">
                  <c:v>21.3</c:v>
                </c:pt>
                <c:pt idx="7">
                  <c:v>12.9</c:v>
                </c:pt>
                <c:pt idx="8">
                  <c:v>12.7</c:v>
                </c:pt>
                <c:pt idx="9">
                  <c:v>14.6</c:v>
                </c:pt>
                <c:pt idx="10">
                  <c:v>11.3</c:v>
                </c:pt>
                <c:pt idx="11">
                  <c:v>28.5413941338969</c:v>
                </c:pt>
                <c:pt idx="12">
                  <c:v>37.6735137106844</c:v>
                </c:pt>
                <c:pt idx="13">
                  <c:v>19.8970254661308</c:v>
                </c:pt>
                <c:pt idx="14">
                  <c:v>32.8522460898271</c:v>
                </c:pt>
                <c:pt idx="15">
                  <c:v>41.6305324297625</c:v>
                </c:pt>
                <c:pt idx="16">
                  <c:v>39.6825396107235</c:v>
                </c:pt>
                <c:pt idx="17">
                  <c:v>6.53189689458666</c:v>
                </c:pt>
                <c:pt idx="18">
                  <c:v>32.3035985906002</c:v>
                </c:pt>
                <c:pt idx="19">
                  <c:v>64.9705709435156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8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 val="autoZero"/>
        <c:crossBetween val="midCat"/>
        <c:majorUnit val="3"/>
        <c:minorUnit val="1"/>
      </c:valAx>
      <c:valAx>
        <c:axId val="1"/>
        <c:scaling>
          <c:orientation val="minMax"/>
          <c:max val="70"/>
          <c:min val="0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Forward speed (knot)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_ " sourceLinked="1"/>
        <c:majorTickMark val="in"/>
        <c:minorTickMark val="in"/>
        <c:tickLblPos val="nextTo"/>
        <c:spPr>
          <a:noFill/>
          <a:ln w="3175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1980"/>
        <c:crossBetween val="midCat"/>
        <c:majorUnit val="10"/>
        <c:minorUnit val="2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Heading Angle of Hurricane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"hahha"</c:f>
              <c:strCache>
                <c:ptCount val="1"/>
                <c:pt idx="0">
                  <c:v>hahha</c:v>
                </c:pt>
              </c:strCache>
            </c:strRef>
          </c:tx>
          <c:spPr>
            <a:noFill/>
            <a:ln w="28575">
              <a:noFill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spPr>
              <a:noFill/>
              <a:ln>
                <a:noFill/>
              </a:ln>
              <a:effectLst/>
            </c:spPr>
          </c:dPt>
          <c:xVal>
            <c:numRef>
              <c:f>'Data Source'!$E$6:$E$25</c:f>
              <c:numCache>
                <c:formatCode>General</c:formatCode>
                <c:ptCount val="20"/>
                <c:pt idx="0" c:formatCode="General">
                  <c:v>1985</c:v>
                </c:pt>
                <c:pt idx="1" c:formatCode="General">
                  <c:v>1985</c:v>
                </c:pt>
                <c:pt idx="2" c:formatCode="General">
                  <c:v>1985</c:v>
                </c:pt>
                <c:pt idx="3" c:formatCode="General">
                  <c:v>1995</c:v>
                </c:pt>
                <c:pt idx="4" c:formatCode="General">
                  <c:v>1998</c:v>
                </c:pt>
                <c:pt idx="5" c:formatCode="General">
                  <c:v>1992</c:v>
                </c:pt>
                <c:pt idx="6" c:formatCode="General">
                  <c:v>1995</c:v>
                </c:pt>
                <c:pt idx="7" c:formatCode="General">
                  <c:v>2002</c:v>
                </c:pt>
                <c:pt idx="8" c:formatCode="General">
                  <c:v>2004</c:v>
                </c:pt>
                <c:pt idx="9" c:formatCode="General">
                  <c:v>2005</c:v>
                </c:pt>
                <c:pt idx="10" c:formatCode="General">
                  <c:v>2005</c:v>
                </c:pt>
                <c:pt idx="11" c:formatCode="General">
                  <c:v>1980</c:v>
                </c:pt>
                <c:pt idx="12" c:formatCode="General">
                  <c:v>1999</c:v>
                </c:pt>
                <c:pt idx="13" c:formatCode="General">
                  <c:v>2004</c:v>
                </c:pt>
                <c:pt idx="14" c:formatCode="General">
                  <c:v>2005</c:v>
                </c:pt>
                <c:pt idx="15" c:formatCode="General">
                  <c:v>2005</c:v>
                </c:pt>
                <c:pt idx="16" c:formatCode="General">
                  <c:v>2003</c:v>
                </c:pt>
                <c:pt idx="17" c:formatCode="General">
                  <c:v>2007</c:v>
                </c:pt>
                <c:pt idx="18" c:formatCode="General">
                  <c:v>2008</c:v>
                </c:pt>
                <c:pt idx="19" c:formatCode="General">
                  <c:v>2008</c:v>
                </c:pt>
              </c:numCache>
            </c:numRef>
          </c:xVal>
          <c:yVal>
            <c:numRef>
              <c:f>'Data Source'!$I$6:$I$25</c:f>
              <c:numCache>
                <c:formatCode>0.0_ </c:formatCode>
                <c:ptCount val="20"/>
                <c:pt idx="0">
                  <c:v>297.3</c:v>
                </c:pt>
                <c:pt idx="1">
                  <c:v>295.6</c:v>
                </c:pt>
                <c:pt idx="2">
                  <c:v>40.4</c:v>
                </c:pt>
                <c:pt idx="3">
                  <c:v>312.8</c:v>
                </c:pt>
                <c:pt idx="4">
                  <c:v>347.7</c:v>
                </c:pt>
                <c:pt idx="5">
                  <c:v>333.4</c:v>
                </c:pt>
                <c:pt idx="6">
                  <c:v>18.6</c:v>
                </c:pt>
                <c:pt idx="7">
                  <c:v>344.1</c:v>
                </c:pt>
                <c:pt idx="8">
                  <c:v>9.8</c:v>
                </c:pt>
                <c:pt idx="9">
                  <c:v>2.2</c:v>
                </c:pt>
                <c:pt idx="10">
                  <c:v>335.2</c:v>
                </c:pt>
                <c:pt idx="11" c:formatCode="0.00_ ">
                  <c:v>313.606379533777</c:v>
                </c:pt>
                <c:pt idx="12" c:formatCode="0.00_ ">
                  <c:v>301.501154620025</c:v>
                </c:pt>
                <c:pt idx="13" c:formatCode="0.00_ ">
                  <c:v>12.6010535764399</c:v>
                </c:pt>
                <c:pt idx="14" c:formatCode="0.00_ ">
                  <c:v>350.66600902147</c:v>
                </c:pt>
                <c:pt idx="15" c:formatCode="0.00_ ">
                  <c:v>63.746485772978</c:v>
                </c:pt>
                <c:pt idx="16" c:formatCode="0.00_ ">
                  <c:v>296.619033024854</c:v>
                </c:pt>
                <c:pt idx="17" c:formatCode="0.00_ ">
                  <c:v>28.9624239362599</c:v>
                </c:pt>
                <c:pt idx="18" c:formatCode="0.00_ ">
                  <c:v>321.840172154918</c:v>
                </c:pt>
                <c:pt idx="19" c:formatCode="0.00_ ">
                  <c:v>345.373426680431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8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At val="0"/>
        <c:crossBetween val="midCat"/>
        <c:majorUnit val="3"/>
        <c:minorUnit val="1"/>
      </c:valAx>
      <c:valAx>
        <c:axId val="1"/>
        <c:scaling>
          <c:orientation val="minMax"/>
          <c:max val="360"/>
          <c:min val="0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Heading Angle (deg)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_ " sourceLinked="1"/>
        <c:majorTickMark val="in"/>
        <c:minorTickMark val="in"/>
        <c:tickLblPos val="nextTo"/>
        <c:spPr>
          <a:noFill/>
          <a:ln w="3175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1940"/>
        <c:crossBetween val="midCat"/>
        <c:majorUnit val="30"/>
        <c:minorUnit val="10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Distance to CRP of Hurricane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"hahha"</c:f>
              <c:strCache>
                <c:ptCount val="1"/>
                <c:pt idx="0">
                  <c:v>hahha</c:v>
                </c:pt>
              </c:strCache>
            </c:strRef>
          </c:tx>
          <c:spPr>
            <a:noFill/>
            <a:ln w="28575">
              <a:noFill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spPr>
              <a:noFill/>
              <a:ln>
                <a:noFill/>
              </a:ln>
              <a:effectLst/>
            </c:spPr>
          </c:dPt>
          <c:xVal>
            <c:numRef>
              <c:f>'Data Source'!$E$6:$E$25</c:f>
              <c:numCache>
                <c:formatCode>General</c:formatCode>
                <c:ptCount val="20"/>
                <c:pt idx="0" c:formatCode="General">
                  <c:v>1985</c:v>
                </c:pt>
                <c:pt idx="1" c:formatCode="General">
                  <c:v>1985</c:v>
                </c:pt>
                <c:pt idx="2" c:formatCode="General">
                  <c:v>1985</c:v>
                </c:pt>
                <c:pt idx="3" c:formatCode="General">
                  <c:v>1995</c:v>
                </c:pt>
                <c:pt idx="4" c:formatCode="General">
                  <c:v>1998</c:v>
                </c:pt>
                <c:pt idx="5" c:formatCode="General">
                  <c:v>1992</c:v>
                </c:pt>
                <c:pt idx="6" c:formatCode="General">
                  <c:v>1995</c:v>
                </c:pt>
                <c:pt idx="7" c:formatCode="General">
                  <c:v>2002</c:v>
                </c:pt>
                <c:pt idx="8" c:formatCode="General">
                  <c:v>2004</c:v>
                </c:pt>
                <c:pt idx="9" c:formatCode="General">
                  <c:v>2005</c:v>
                </c:pt>
                <c:pt idx="10" c:formatCode="General">
                  <c:v>2005</c:v>
                </c:pt>
                <c:pt idx="11" c:formatCode="General">
                  <c:v>1980</c:v>
                </c:pt>
                <c:pt idx="12" c:formatCode="General">
                  <c:v>1999</c:v>
                </c:pt>
                <c:pt idx="13" c:formatCode="General">
                  <c:v>2004</c:v>
                </c:pt>
                <c:pt idx="14" c:formatCode="General">
                  <c:v>2005</c:v>
                </c:pt>
                <c:pt idx="15" c:formatCode="General">
                  <c:v>2005</c:v>
                </c:pt>
                <c:pt idx="16" c:formatCode="General">
                  <c:v>2003</c:v>
                </c:pt>
                <c:pt idx="17" c:formatCode="General">
                  <c:v>2007</c:v>
                </c:pt>
                <c:pt idx="18" c:formatCode="General">
                  <c:v>2008</c:v>
                </c:pt>
                <c:pt idx="19" c:formatCode="General">
                  <c:v>2008</c:v>
                </c:pt>
              </c:numCache>
            </c:numRef>
          </c:xVal>
          <c:yVal>
            <c:numRef>
              <c:f>'Data Source'!$H$6:$H$25</c:f>
              <c:numCache>
                <c:formatCode>0.00_ </c:formatCode>
                <c:ptCount val="20"/>
                <c:pt idx="0">
                  <c:v>548.117443226431</c:v>
                </c:pt>
                <c:pt idx="1">
                  <c:v>259.356790617968</c:v>
                </c:pt>
                <c:pt idx="2">
                  <c:v>597.553257057374</c:v>
                </c:pt>
                <c:pt idx="3">
                  <c:v>643.323115156072</c:v>
                </c:pt>
                <c:pt idx="4">
                  <c:v>259.032571324235</c:v>
                </c:pt>
                <c:pt idx="5">
                  <c:v>165.791372556003</c:v>
                </c:pt>
                <c:pt idx="6">
                  <c:v>164.386450253928</c:v>
                </c:pt>
                <c:pt idx="7">
                  <c:v>100.674786332801</c:v>
                </c:pt>
                <c:pt idx="8">
                  <c:v>19.5360650456741</c:v>
                </c:pt>
                <c:pt idx="9">
                  <c:v>23.5793359707841</c:v>
                </c:pt>
                <c:pt idx="10">
                  <c:v>85.8854771589578</c:v>
                </c:pt>
                <c:pt idx="11">
                  <c:v>405.029519184118</c:v>
                </c:pt>
                <c:pt idx="12">
                  <c:v>317.704888191093</c:v>
                </c:pt>
                <c:pt idx="13">
                  <c:v>601.327566636391</c:v>
                </c:pt>
                <c:pt idx="14">
                  <c:v>206.720182738205</c:v>
                </c:pt>
                <c:pt idx="15">
                  <c:v>1352.05556846006</c:v>
                </c:pt>
                <c:pt idx="16">
                  <c:v>172.359788239068</c:v>
                </c:pt>
                <c:pt idx="17">
                  <c:v>0.419528957743329</c:v>
                </c:pt>
                <c:pt idx="18">
                  <c:v>408.85487304738</c:v>
                </c:pt>
                <c:pt idx="19">
                  <c:v>3.72678606799499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8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At val="0"/>
        <c:crossBetween val="midCat"/>
        <c:majorUnit val="3"/>
        <c:minorUnit val="2"/>
      </c:valAx>
      <c:valAx>
        <c:axId val="1"/>
        <c:scaling>
          <c:orientation val="minMax"/>
          <c:max val="800"/>
          <c:min val="0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Distance to CRP (km)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in"/>
        <c:minorTickMark val="in"/>
        <c:tickLblPos val="nextTo"/>
        <c:spPr>
          <a:noFill/>
          <a:ln w="3175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1940"/>
        <c:crossBetween val="midCat"/>
        <c:majorUnit val="80"/>
        <c:minorUnit val="20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Overflow="ellipsis" vert="horz" anchor="ctr" anchorCtr="1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Central Pressure of Hurricanes in Gulf of Mexico</a:t>
            </a:r>
            <a:endParaRPr lang="zh-CN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934512569815029"/>
          <c:y val="0.116012641276983"/>
          <c:w val="0.881272281723078"/>
          <c:h val="0.751049547378006"/>
        </c:manualLayout>
      </c:layout>
      <c:scatterChart>
        <c:scatterStyle val="marker"/>
        <c:varyColors val="0"/>
        <c:ser>
          <c:idx val="0"/>
          <c:order val="0"/>
          <c:spPr>
            <a:solidFill>
              <a:schemeClr val="tx1">
                <a:lumMod val="95000"/>
                <a:lumOff val="5000"/>
              </a:schemeClr>
            </a:solidFill>
            <a:ln w="28575">
              <a:noFill/>
            </a:ln>
            <a:effectLst/>
          </c:spPr>
          <c:marker>
            <c:symbol val="diamond"/>
            <c:size val="7"/>
            <c:spPr>
              <a:solidFill>
                <a:schemeClr val="dk1">
                  <a:tint val="88500"/>
                </a:schemeClr>
              </a:solidFill>
              <a:ln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dLbls>
            <c:numFmt formatCode="General" sourceLinked="1"/>
            <c:txPr>
              <a:bodyPr rot="0" spcFirstLastPara="0" vertOverflow="ellipsis" horzOverflow="overflow" vert="horz" wrap="square" anchor="ctr" anchorCtr="1"/>
              <a:lstStyle/>
              <a:p>
                <a:pPr>
                  <a:defRPr/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>
                      <a:noFill/>
                    </a:ln>
                    <a:effectLst/>
                  </c:spPr>
                </c15:leaderLines>
              </c:ext>
            </c:extLst>
          </c:dLbls>
          <c:xVal>
            <c:numRef>
              <c:f>'Data Source'!$E$6:$E$25</c:f>
              <c:numCache>
                <c:formatCode>General</c:formatCode>
                <c:ptCount val="20"/>
                <c:pt idx="0" c:formatCode="General">
                  <c:v>1985</c:v>
                </c:pt>
                <c:pt idx="1" c:formatCode="General">
                  <c:v>1985</c:v>
                </c:pt>
                <c:pt idx="2" c:formatCode="General">
                  <c:v>1985</c:v>
                </c:pt>
                <c:pt idx="3" c:formatCode="General">
                  <c:v>1995</c:v>
                </c:pt>
                <c:pt idx="4" c:formatCode="General">
                  <c:v>1998</c:v>
                </c:pt>
                <c:pt idx="5" c:formatCode="General">
                  <c:v>1992</c:v>
                </c:pt>
                <c:pt idx="6" c:formatCode="General">
                  <c:v>1995</c:v>
                </c:pt>
                <c:pt idx="7" c:formatCode="General">
                  <c:v>2002</c:v>
                </c:pt>
                <c:pt idx="8" c:formatCode="General">
                  <c:v>2004</c:v>
                </c:pt>
                <c:pt idx="9" c:formatCode="General">
                  <c:v>2005</c:v>
                </c:pt>
                <c:pt idx="10" c:formatCode="General">
                  <c:v>2005</c:v>
                </c:pt>
                <c:pt idx="11" c:formatCode="General">
                  <c:v>1980</c:v>
                </c:pt>
                <c:pt idx="12" c:formatCode="General">
                  <c:v>1999</c:v>
                </c:pt>
                <c:pt idx="13" c:formatCode="General">
                  <c:v>2004</c:v>
                </c:pt>
                <c:pt idx="14" c:formatCode="General">
                  <c:v>2005</c:v>
                </c:pt>
                <c:pt idx="15" c:formatCode="General">
                  <c:v>2005</c:v>
                </c:pt>
                <c:pt idx="16" c:formatCode="General">
                  <c:v>2003</c:v>
                </c:pt>
                <c:pt idx="17" c:formatCode="General">
                  <c:v>2007</c:v>
                </c:pt>
                <c:pt idx="18" c:formatCode="General">
                  <c:v>2008</c:v>
                </c:pt>
                <c:pt idx="19" c:formatCode="General">
                  <c:v>2008</c:v>
                </c:pt>
              </c:numCache>
            </c:numRef>
          </c:xVal>
          <c:yVal>
            <c:numRef>
              <c:f>'Data Source'!$J$6:$J$25</c:f>
              <c:numCache>
                <c:formatCode>General</c:formatCode>
                <c:ptCount val="20"/>
                <c:pt idx="0" c:formatCode="General">
                  <c:v>959</c:v>
                </c:pt>
                <c:pt idx="1" c:formatCode="General">
                  <c:v>971</c:v>
                </c:pt>
                <c:pt idx="2" c:formatCode="General">
                  <c:v>967</c:v>
                </c:pt>
                <c:pt idx="3" c:formatCode="General">
                  <c:v>973</c:v>
                </c:pt>
                <c:pt idx="4" c:formatCode="General">
                  <c:v>964</c:v>
                </c:pt>
                <c:pt idx="5" c:formatCode="General">
                  <c:v>949</c:v>
                </c:pt>
                <c:pt idx="6" c:formatCode="General">
                  <c:v>940</c:v>
                </c:pt>
                <c:pt idx="7" c:formatCode="General">
                  <c:v>966</c:v>
                </c:pt>
                <c:pt idx="8" c:formatCode="General">
                  <c:v>955</c:v>
                </c:pt>
                <c:pt idx="9" c:formatCode="General">
                  <c:v>919</c:v>
                </c:pt>
                <c:pt idx="10" c:formatCode="General">
                  <c:v>946</c:v>
                </c:pt>
                <c:pt idx="11" c:formatCode="General">
                  <c:v>945</c:v>
                </c:pt>
                <c:pt idx="12" c:formatCode="General">
                  <c:v>953</c:v>
                </c:pt>
                <c:pt idx="13" c:formatCode="General">
                  <c:v>950</c:v>
                </c:pt>
                <c:pt idx="14" c:formatCode="General">
                  <c:v>952</c:v>
                </c:pt>
                <c:pt idx="15" c:formatCode="General">
                  <c:v>951</c:v>
                </c:pt>
                <c:pt idx="16" c:formatCode="General">
                  <c:v>979</c:v>
                </c:pt>
                <c:pt idx="17" c:formatCode="General">
                  <c:v>985</c:v>
                </c:pt>
                <c:pt idx="18" c:formatCode="General">
                  <c:v>963</c:v>
                </c:pt>
                <c:pt idx="19" c:formatCode="General">
                  <c:v>935</c:v>
                </c:pt>
              </c:numCache>
            </c:numRef>
          </c:yVal>
          <c:smooth val="0"/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80"/>
        </c:scaling>
        <c:delete val="0"/>
        <c:axPos val="b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1"/>
        <c:crosses val="autoZero"/>
        <c:crossBetween val="midCat"/>
        <c:majorUnit val="3"/>
        <c:minorUnit val="1"/>
      </c:valAx>
      <c:valAx>
        <c:axId val="1"/>
        <c:scaling>
          <c:orientation val="minMax"/>
          <c:min val="880"/>
        </c:scaling>
        <c:delete val="0"/>
        <c:axPos val="l"/>
        <c:majorGridlines>
          <c:spPr>
            <a:noFill/>
            <a:ln w="3175">
              <a:solidFill>
                <a:srgbClr val="000000"/>
              </a:solidFill>
              <a:prstDash val="sysDash"/>
            </a:ln>
            <a:effectLst/>
          </c:spPr>
        </c:majorGridlines>
        <c:title>
          <c:tx>
            <c:rich>
              <a:bodyPr rot="-5400000" vertOverflow="ellipsis" vert="horz" anchor="ctr" anchorCtr="1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Central Pressure(mb)</a:t>
                </a:r>
                <a:endParaRPr lang="zh-CN" alt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25400">
            <a:solidFill>
              <a:srgbClr val="000000"/>
            </a:solidFill>
            <a:prstDash val="solid"/>
          </a:ln>
          <a:effectLst/>
        </c:spPr>
        <c:txPr>
          <a:bodyPr rot="0" spcFirstLastPara="0" vertOverflow="ellipsis" horzOverflow="overflow" vert="horz" wrap="square" anchor="ctr" anchorCtr="1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 pitchFamily="12"/>
                <a:ea typeface="Times New Roman" pitchFamily="12"/>
                <a:cs typeface="Times New Roman" pitchFamily="12"/>
              </a:defRPr>
            </a:pPr>
          </a:p>
        </c:txPr>
        <c:crossAx val="0"/>
        <c:crossesAt val="1940"/>
        <c:crossBetween val="midCat"/>
      </c:valAx>
      <c:spPr>
        <a:noFill/>
        <a:ln w="3175">
          <a:solidFill>
            <a:srgbClr val="80808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noFill/>
      <a:prstDash val="solid"/>
    </a:ln>
    <a:effectLst/>
  </c:spPr>
  <c:txPr>
    <a:bodyPr rot="0" spcFirstLastPara="0" vertOverflow="ellipsis" horzOverflow="overflow" vert="horz" wrap="square" anchor="ctr" anchorCtr="1"/>
    <a:lstStyle/>
    <a:p>
      <a:pPr>
        <a:defRPr lang="zh-CN"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  <c:printSettings>
    <c:headerFooter/>
    <c:pageMargins r="0.7" b="0.75" l="0.7" footer="0.3" header="0.3" t="0.75"/>
    <c:pageSetup/>
  </c:printSettings>
</c:chartSpac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200025</xdr:colOff>
      <xdr:row>26</xdr:row>
      <xdr:rowOff>171450</xdr:rowOff>
    </xdr:from>
    <xdr:to>
      <xdr:col>13</xdr:col>
      <xdr:colOff>9525</xdr:colOff>
      <xdr:row>52</xdr:row>
      <xdr:rowOff>133350</xdr:rowOff>
    </xdr:to>
    <xdr:graphicFrame>
      <xdr:nvGraphicFramePr>
        <xdr:cNvPr id="14336" name="Chart 6"/>
        <xdr:cNvGraphicFramePr/>
      </xdr:nvGraphicFramePr>
      <xdr:xfrm>
        <a:off x="885825" y="4876800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54</xdr:row>
      <xdr:rowOff>0</xdr:rowOff>
    </xdr:from>
    <xdr:to>
      <xdr:col>12</xdr:col>
      <xdr:colOff>676275</xdr:colOff>
      <xdr:row>79</xdr:row>
      <xdr:rowOff>142875</xdr:rowOff>
    </xdr:to>
    <xdr:graphicFrame>
      <xdr:nvGraphicFramePr>
        <xdr:cNvPr id="14343" name="Chart 13"/>
        <xdr:cNvGraphicFramePr/>
      </xdr:nvGraphicFramePr>
      <xdr:xfrm>
        <a:off x="866775" y="9772650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200025</xdr:colOff>
      <xdr:row>80</xdr:row>
      <xdr:rowOff>104775</xdr:rowOff>
    </xdr:from>
    <xdr:to>
      <xdr:col>13</xdr:col>
      <xdr:colOff>9525</xdr:colOff>
      <xdr:row>106</xdr:row>
      <xdr:rowOff>66675</xdr:rowOff>
    </xdr:to>
    <xdr:graphicFrame>
      <xdr:nvGraphicFramePr>
        <xdr:cNvPr id="14344" name="Chart 14"/>
        <xdr:cNvGraphicFramePr/>
      </xdr:nvGraphicFramePr>
      <xdr:xfrm>
        <a:off x="885825" y="14582775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107</xdr:row>
      <xdr:rowOff>47625</xdr:rowOff>
    </xdr:from>
    <xdr:to>
      <xdr:col>13</xdr:col>
      <xdr:colOff>9525</xdr:colOff>
      <xdr:row>133</xdr:row>
      <xdr:rowOff>9525</xdr:rowOff>
    </xdr:to>
    <xdr:graphicFrame>
      <xdr:nvGraphicFramePr>
        <xdr:cNvPr id="14345" name="Chart 15"/>
        <xdr:cNvGraphicFramePr/>
      </xdr:nvGraphicFramePr>
      <xdr:xfrm>
        <a:off x="885825" y="19411950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180975</xdr:colOff>
      <xdr:row>133</xdr:row>
      <xdr:rowOff>123825</xdr:rowOff>
    </xdr:from>
    <xdr:to>
      <xdr:col>12</xdr:col>
      <xdr:colOff>676275</xdr:colOff>
      <xdr:row>159</xdr:row>
      <xdr:rowOff>85725</xdr:rowOff>
    </xdr:to>
    <xdr:graphicFrame>
      <xdr:nvGraphicFramePr>
        <xdr:cNvPr id="14346" name="Chart 16"/>
        <xdr:cNvGraphicFramePr/>
      </xdr:nvGraphicFramePr>
      <xdr:xfrm>
        <a:off x="866775" y="24193500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171450</xdr:colOff>
      <xdr:row>0</xdr:row>
      <xdr:rowOff>85725</xdr:rowOff>
    </xdr:from>
    <xdr:to>
      <xdr:col>12</xdr:col>
      <xdr:colOff>666750</xdr:colOff>
      <xdr:row>26</xdr:row>
      <xdr:rowOff>47625</xdr:rowOff>
    </xdr:to>
    <xdr:graphicFrame>
      <xdr:nvGraphicFramePr>
        <xdr:cNvPr id="14331" name="Chart 1"/>
        <xdr:cNvGraphicFramePr/>
      </xdr:nvGraphicFramePr>
      <xdr:xfrm>
        <a:off x="857250" y="85725"/>
        <a:ext cx="8039100" cy="4667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B2:T42"/>
  <sheetViews>
    <sheetView topLeftCell="D5" workbookViewId="0">
      <selection activeCell="N5" sqref="N5:N25"/>
    </sheetView>
  </sheetViews>
  <sheetFormatPr defaultColWidth="9" defaultRowHeight="14.25"/>
  <cols>
    <col min="1" max="11" width="9" style="3"/>
    <col min="12" max="12" width="11.125" style="3"/>
    <col min="13" max="13" width="9" style="3"/>
    <col min="14" max="14" width="9.5" style="3" customWidth="1"/>
    <col min="15" max="28" width="9" style="3"/>
  </cols>
  <sheetData>
    <row r="2" spans="2:20">
      <c r="B2" s="4"/>
      <c r="C2" s="5" t="s">
        <v>0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R2" s="6"/>
      <c r="S2" s="6"/>
      <c r="T2" s="9"/>
    </row>
    <row r="3" spans="2:20">
      <c r="B3" s="4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9"/>
    </row>
    <row r="4" spans="2:20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9"/>
    </row>
    <row r="5" ht="38.25" spans="2:20"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6" t="s">
        <v>6</v>
      </c>
      <c r="H5" s="6" t="s">
        <v>7</v>
      </c>
      <c r="I5" s="6" t="s">
        <v>8</v>
      </c>
      <c r="J5" s="6" t="s">
        <v>9</v>
      </c>
      <c r="K5" s="6" t="s">
        <v>10</v>
      </c>
      <c r="L5" s="6" t="s">
        <v>11</v>
      </c>
      <c r="M5" s="6" t="s">
        <v>12</v>
      </c>
      <c r="N5" s="6" t="s">
        <v>13</v>
      </c>
      <c r="O5" s="6" t="s">
        <v>14</v>
      </c>
      <c r="P5" s="6" t="s">
        <v>15</v>
      </c>
      <c r="Q5" s="6" t="s">
        <v>16</v>
      </c>
      <c r="R5" s="6" t="s">
        <v>17</v>
      </c>
      <c r="S5" s="6" t="s">
        <v>18</v>
      </c>
      <c r="T5" s="9"/>
    </row>
    <row r="6" spans="2:20">
      <c r="B6" s="6">
        <v>1</v>
      </c>
      <c r="C6" s="6" t="s">
        <v>19</v>
      </c>
      <c r="D6" s="6" t="s">
        <v>20</v>
      </c>
      <c r="E6" s="6">
        <v>1985</v>
      </c>
      <c r="F6" s="7">
        <v>30.3</v>
      </c>
      <c r="G6" s="7">
        <v>-89.1</v>
      </c>
      <c r="H6" s="7">
        <f>distancekm3(I6,F6,G6,29.28861,-94.789959)</f>
        <v>548.117443226431</v>
      </c>
      <c r="I6" s="12">
        <v>297.3</v>
      </c>
      <c r="J6" s="6">
        <v>959</v>
      </c>
      <c r="K6" s="6">
        <f t="shared" ref="K6:K25" si="0">1013-J6</f>
        <v>54</v>
      </c>
      <c r="L6" s="13">
        <f t="shared" ref="L6:L10" si="1">M6*1.852</f>
        <v>24.076</v>
      </c>
      <c r="M6" s="6">
        <v>13</v>
      </c>
      <c r="N6" s="14">
        <v>15</v>
      </c>
      <c r="O6" s="7">
        <f t="shared" ref="O6:O16" si="2">0.5144*N6</f>
        <v>7.716</v>
      </c>
      <c r="P6" s="6">
        <v>100</v>
      </c>
      <c r="Q6" s="13">
        <f t="shared" ref="Q6:Q25" si="3">0.5144*P6</f>
        <v>51.44</v>
      </c>
      <c r="R6" s="13">
        <f t="shared" ref="R6:R16" si="4">LOG(K6,EXP(1))</f>
        <v>3.98898404656427</v>
      </c>
      <c r="S6" s="13">
        <f t="shared" ref="S6:S16" si="5">LOG(M6,EXP(1))</f>
        <v>2.56494935746154</v>
      </c>
      <c r="T6" s="9"/>
    </row>
    <row r="7" spans="2:20">
      <c r="B7" s="6">
        <v>2</v>
      </c>
      <c r="C7" s="6" t="s">
        <v>19</v>
      </c>
      <c r="D7" s="6" t="s">
        <v>21</v>
      </c>
      <c r="E7" s="6">
        <v>1985</v>
      </c>
      <c r="F7" s="7">
        <v>29.5</v>
      </c>
      <c r="G7" s="7">
        <v>-92</v>
      </c>
      <c r="H7" s="7">
        <f>distancekm3(I7,F7,G7,29.28861,-94.789959)</f>
        <v>259.356790617968</v>
      </c>
      <c r="I7" s="12">
        <v>295.6</v>
      </c>
      <c r="J7" s="6">
        <v>971</v>
      </c>
      <c r="K7" s="15">
        <f t="shared" si="0"/>
        <v>42</v>
      </c>
      <c r="L7" s="13">
        <f t="shared" si="1"/>
        <v>29.632</v>
      </c>
      <c r="M7" s="6">
        <v>16</v>
      </c>
      <c r="N7" s="14">
        <v>8.6</v>
      </c>
      <c r="O7" s="7">
        <f t="shared" si="2"/>
        <v>4.42384</v>
      </c>
      <c r="P7" s="6">
        <v>70</v>
      </c>
      <c r="Q7" s="13">
        <f t="shared" si="3"/>
        <v>36.008</v>
      </c>
      <c r="R7" s="13">
        <f t="shared" si="4"/>
        <v>3.73766961828337</v>
      </c>
      <c r="S7" s="13">
        <f t="shared" si="5"/>
        <v>2.77258872223978</v>
      </c>
      <c r="T7" s="9"/>
    </row>
    <row r="8" spans="2:20">
      <c r="B8" s="6">
        <v>3</v>
      </c>
      <c r="C8" s="6" t="s">
        <v>19</v>
      </c>
      <c r="D8" s="6" t="s">
        <v>22</v>
      </c>
      <c r="E8" s="6">
        <v>1985</v>
      </c>
      <c r="F8" s="7">
        <v>29.9</v>
      </c>
      <c r="G8" s="7">
        <v>-85.4</v>
      </c>
      <c r="H8" s="7">
        <f>distancekm3(I8,F8,G8,29.28861,-94.789959)</f>
        <v>597.553257057374</v>
      </c>
      <c r="I8" s="14">
        <v>40.4</v>
      </c>
      <c r="J8" s="6">
        <v>967</v>
      </c>
      <c r="K8" s="6">
        <f t="shared" si="0"/>
        <v>46</v>
      </c>
      <c r="L8" s="13">
        <f t="shared" si="1"/>
        <v>51.856</v>
      </c>
      <c r="M8" s="6">
        <v>28</v>
      </c>
      <c r="N8" s="14">
        <v>14.4</v>
      </c>
      <c r="O8" s="7">
        <f t="shared" si="2"/>
        <v>7.40736</v>
      </c>
      <c r="P8" s="6">
        <v>85</v>
      </c>
      <c r="Q8" s="13">
        <f t="shared" si="3"/>
        <v>43.724</v>
      </c>
      <c r="R8" s="13">
        <f t="shared" si="4"/>
        <v>3.82864139648909</v>
      </c>
      <c r="S8" s="13">
        <f t="shared" si="5"/>
        <v>3.3322045101752</v>
      </c>
      <c r="T8" s="9"/>
    </row>
    <row r="9" spans="2:20">
      <c r="B9" s="6">
        <v>4</v>
      </c>
      <c r="C9" s="6" t="s">
        <v>19</v>
      </c>
      <c r="D9" s="6" t="s">
        <v>23</v>
      </c>
      <c r="E9" s="6">
        <v>1995</v>
      </c>
      <c r="F9" s="7">
        <v>30.3</v>
      </c>
      <c r="G9" s="7">
        <v>-87.2</v>
      </c>
      <c r="H9" s="7">
        <f>distancekm3(I9,F9,G9,29.28861,-94.789959)</f>
        <v>643.323115156072</v>
      </c>
      <c r="I9" s="12">
        <v>312.8</v>
      </c>
      <c r="J9" s="6">
        <v>973</v>
      </c>
      <c r="K9" s="15">
        <f t="shared" si="0"/>
        <v>40</v>
      </c>
      <c r="L9" s="13">
        <f t="shared" si="1"/>
        <v>61.116</v>
      </c>
      <c r="M9" s="6">
        <v>33</v>
      </c>
      <c r="N9" s="14">
        <v>11</v>
      </c>
      <c r="O9" s="7">
        <f t="shared" si="2"/>
        <v>5.6584</v>
      </c>
      <c r="P9" s="6">
        <v>75</v>
      </c>
      <c r="Q9" s="13">
        <f t="shared" si="3"/>
        <v>38.58</v>
      </c>
      <c r="R9" s="13">
        <f t="shared" si="4"/>
        <v>3.68887945411394</v>
      </c>
      <c r="S9" s="13">
        <f t="shared" si="5"/>
        <v>3.49650756146648</v>
      </c>
      <c r="T9" s="9"/>
    </row>
    <row r="10" spans="2:20">
      <c r="B10" s="6">
        <v>5</v>
      </c>
      <c r="C10" s="6" t="s">
        <v>19</v>
      </c>
      <c r="D10" s="6" t="s">
        <v>24</v>
      </c>
      <c r="E10" s="6">
        <v>1998</v>
      </c>
      <c r="F10" s="7">
        <v>30.4</v>
      </c>
      <c r="G10" s="7">
        <v>-88.9</v>
      </c>
      <c r="H10" s="7">
        <f>distancekm3(I10,F10,G10,29.28861,-94.789959)</f>
        <v>259.032571324235</v>
      </c>
      <c r="I10" s="12">
        <v>347.7</v>
      </c>
      <c r="J10" s="6">
        <v>964</v>
      </c>
      <c r="K10" s="6">
        <f t="shared" si="0"/>
        <v>49</v>
      </c>
      <c r="L10" s="13">
        <f t="shared" si="1"/>
        <v>92.6</v>
      </c>
      <c r="M10" s="6">
        <v>50</v>
      </c>
      <c r="N10" s="14">
        <v>4.1</v>
      </c>
      <c r="O10" s="7">
        <f t="shared" si="2"/>
        <v>2.10904</v>
      </c>
      <c r="P10" s="6">
        <v>90</v>
      </c>
      <c r="Q10" s="13">
        <f t="shared" si="3"/>
        <v>46.296</v>
      </c>
      <c r="R10" s="13">
        <f t="shared" si="4"/>
        <v>3.89182029811063</v>
      </c>
      <c r="S10" s="13">
        <f t="shared" si="5"/>
        <v>3.91202300542815</v>
      </c>
      <c r="T10" s="9"/>
    </row>
    <row r="11" spans="2:20">
      <c r="B11" s="6">
        <v>6</v>
      </c>
      <c r="C11" s="6" t="s">
        <v>25</v>
      </c>
      <c r="D11" s="6" t="s">
        <v>26</v>
      </c>
      <c r="E11" s="6">
        <v>1992</v>
      </c>
      <c r="F11" s="7">
        <v>29.3</v>
      </c>
      <c r="G11" s="7">
        <v>-91.4</v>
      </c>
      <c r="H11" s="7">
        <f>distancekm3(I11,F11,G11,29.28861,-94.789959)</f>
        <v>165.791372556003</v>
      </c>
      <c r="I11" s="12">
        <v>333.4</v>
      </c>
      <c r="J11" s="6">
        <v>949</v>
      </c>
      <c r="K11" s="6">
        <f t="shared" si="0"/>
        <v>64</v>
      </c>
      <c r="L11" s="16">
        <v>30</v>
      </c>
      <c r="M11" s="7">
        <f t="shared" ref="M11:M21" si="6">L11*0.539957</f>
        <v>16.19871</v>
      </c>
      <c r="N11" s="14">
        <v>10.9</v>
      </c>
      <c r="O11" s="7">
        <f t="shared" si="2"/>
        <v>5.60696</v>
      </c>
      <c r="P11" s="6">
        <v>120</v>
      </c>
      <c r="Q11" s="13">
        <f t="shared" si="3"/>
        <v>61.728</v>
      </c>
      <c r="R11" s="13">
        <f t="shared" si="4"/>
        <v>4.15888308335967</v>
      </c>
      <c r="S11" s="13">
        <f t="shared" si="5"/>
        <v>2.7849316094381</v>
      </c>
      <c r="T11" s="9"/>
    </row>
    <row r="12" spans="2:20">
      <c r="B12" s="6">
        <v>7</v>
      </c>
      <c r="C12" s="6" t="s">
        <v>25</v>
      </c>
      <c r="D12" s="6" t="s">
        <v>27</v>
      </c>
      <c r="E12" s="6">
        <v>1995</v>
      </c>
      <c r="F12" s="7">
        <v>30.3</v>
      </c>
      <c r="G12" s="7">
        <v>-87.1</v>
      </c>
      <c r="H12" s="7">
        <f>distancekm3(I12,F12,G12,29.28861,-94.789959)</f>
        <v>164.386450253928</v>
      </c>
      <c r="I12" s="14">
        <v>18.6</v>
      </c>
      <c r="J12" s="6">
        <v>940</v>
      </c>
      <c r="K12" s="6">
        <f t="shared" si="0"/>
        <v>73</v>
      </c>
      <c r="L12" s="16">
        <v>69</v>
      </c>
      <c r="M12" s="7">
        <f t="shared" si="6"/>
        <v>37.257033</v>
      </c>
      <c r="N12" s="14">
        <v>21.3</v>
      </c>
      <c r="O12" s="7">
        <f t="shared" si="2"/>
        <v>10.95672</v>
      </c>
      <c r="P12" s="6">
        <v>100</v>
      </c>
      <c r="Q12" s="13">
        <f t="shared" si="3"/>
        <v>51.44</v>
      </c>
      <c r="R12" s="13">
        <f t="shared" si="4"/>
        <v>4.29045944114839</v>
      </c>
      <c r="S12" s="13">
        <f t="shared" si="5"/>
        <v>3.61784073237321</v>
      </c>
      <c r="T12" s="9"/>
    </row>
    <row r="13" spans="2:20">
      <c r="B13" s="6">
        <v>8</v>
      </c>
      <c r="C13" s="6" t="s">
        <v>25</v>
      </c>
      <c r="D13" s="6" t="s">
        <v>28</v>
      </c>
      <c r="E13" s="6">
        <v>2002</v>
      </c>
      <c r="F13" s="7">
        <v>29.5</v>
      </c>
      <c r="G13" s="7">
        <v>-92.2</v>
      </c>
      <c r="H13" s="7">
        <f>distancekm3(I13,F13,G13,29.28861,-94.789959)</f>
        <v>100.674786332801</v>
      </c>
      <c r="I13" s="12">
        <v>344.1</v>
      </c>
      <c r="J13" s="6">
        <v>966</v>
      </c>
      <c r="K13" s="6">
        <f t="shared" si="0"/>
        <v>47</v>
      </c>
      <c r="L13" s="16">
        <v>28</v>
      </c>
      <c r="M13" s="7">
        <f t="shared" si="6"/>
        <v>15.118796</v>
      </c>
      <c r="N13" s="14">
        <v>12.9</v>
      </c>
      <c r="O13" s="7">
        <f t="shared" si="2"/>
        <v>6.63576</v>
      </c>
      <c r="P13" s="6">
        <v>80</v>
      </c>
      <c r="Q13" s="13">
        <f t="shared" si="3"/>
        <v>41.152</v>
      </c>
      <c r="R13" s="13">
        <f t="shared" si="4"/>
        <v>3.85014760171006</v>
      </c>
      <c r="S13" s="13">
        <f t="shared" si="5"/>
        <v>2.71593873795115</v>
      </c>
      <c r="T13" s="9"/>
    </row>
    <row r="14" spans="2:20">
      <c r="B14" s="6">
        <v>9</v>
      </c>
      <c r="C14" s="6" t="s">
        <v>25</v>
      </c>
      <c r="D14" s="6" t="s">
        <v>29</v>
      </c>
      <c r="E14" s="6">
        <v>2004</v>
      </c>
      <c r="F14" s="7">
        <v>30.3</v>
      </c>
      <c r="G14" s="7">
        <v>-87.9</v>
      </c>
      <c r="H14" s="7">
        <f>distancekm3(I14,F14,G14,29.28861,-94.789959)</f>
        <v>19.5360650456741</v>
      </c>
      <c r="I14" s="14">
        <v>9.8</v>
      </c>
      <c r="J14" s="6">
        <v>955</v>
      </c>
      <c r="K14" s="6">
        <f t="shared" si="0"/>
        <v>58</v>
      </c>
      <c r="L14" s="16">
        <v>56</v>
      </c>
      <c r="M14" s="7">
        <f t="shared" si="6"/>
        <v>30.237592</v>
      </c>
      <c r="N14" s="14">
        <v>12.7</v>
      </c>
      <c r="O14" s="7">
        <f t="shared" si="2"/>
        <v>6.53288</v>
      </c>
      <c r="P14" s="6">
        <v>105</v>
      </c>
      <c r="Q14" s="13">
        <f t="shared" si="3"/>
        <v>54.012</v>
      </c>
      <c r="R14" s="13">
        <f t="shared" si="4"/>
        <v>4.06044301054642</v>
      </c>
      <c r="S14" s="13">
        <f t="shared" si="5"/>
        <v>3.4090859185111</v>
      </c>
      <c r="T14" s="9"/>
    </row>
    <row r="15" spans="2:20">
      <c r="B15" s="6">
        <v>10</v>
      </c>
      <c r="C15" s="6" t="s">
        <v>25</v>
      </c>
      <c r="D15" s="6" t="s">
        <v>30</v>
      </c>
      <c r="E15" s="6">
        <v>2005</v>
      </c>
      <c r="F15" s="7">
        <v>29.7</v>
      </c>
      <c r="G15" s="7">
        <v>-89.6</v>
      </c>
      <c r="H15" s="7">
        <f>distancekm3(I15,F15,G15,29.28861,-94.789959)</f>
        <v>23.5793359707841</v>
      </c>
      <c r="I15" s="14">
        <v>2.2</v>
      </c>
      <c r="J15" s="6">
        <v>919</v>
      </c>
      <c r="K15" s="6">
        <f t="shared" si="0"/>
        <v>94</v>
      </c>
      <c r="L15" s="16">
        <v>47</v>
      </c>
      <c r="M15" s="7">
        <f t="shared" si="6"/>
        <v>25.377979</v>
      </c>
      <c r="N15" s="14">
        <v>14.6</v>
      </c>
      <c r="O15" s="7">
        <f t="shared" si="2"/>
        <v>7.51024</v>
      </c>
      <c r="P15" s="6">
        <v>110</v>
      </c>
      <c r="Q15" s="13">
        <f t="shared" si="3"/>
        <v>56.584</v>
      </c>
      <c r="R15" s="13">
        <f t="shared" si="4"/>
        <v>4.54329478227</v>
      </c>
      <c r="S15" s="13">
        <f t="shared" si="5"/>
        <v>3.233881829486</v>
      </c>
      <c r="T15" s="9"/>
    </row>
    <row r="16" spans="2:20">
      <c r="B16" s="6">
        <v>11</v>
      </c>
      <c r="C16" s="6" t="s">
        <v>25</v>
      </c>
      <c r="D16" s="6" t="s">
        <v>31</v>
      </c>
      <c r="E16" s="6">
        <v>2005</v>
      </c>
      <c r="F16" s="7">
        <v>29.7</v>
      </c>
      <c r="G16" s="7">
        <v>-93.8</v>
      </c>
      <c r="H16" s="7">
        <f>distancekm3(I16,F16,G16,29.28861,-94.789959)</f>
        <v>85.8854771589578</v>
      </c>
      <c r="I16" s="12">
        <v>335.2</v>
      </c>
      <c r="J16" s="6">
        <v>946</v>
      </c>
      <c r="K16" s="6">
        <f t="shared" si="0"/>
        <v>67</v>
      </c>
      <c r="L16" s="16">
        <v>40</v>
      </c>
      <c r="M16" s="7">
        <f t="shared" si="6"/>
        <v>21.59828</v>
      </c>
      <c r="N16" s="14">
        <v>11.3</v>
      </c>
      <c r="O16" s="7">
        <f t="shared" si="2"/>
        <v>5.81272</v>
      </c>
      <c r="P16" s="6">
        <v>100</v>
      </c>
      <c r="Q16" s="13">
        <f t="shared" si="3"/>
        <v>51.44</v>
      </c>
      <c r="R16" s="13">
        <f t="shared" si="4"/>
        <v>4.20469261939097</v>
      </c>
      <c r="S16" s="13">
        <f t="shared" si="5"/>
        <v>3.07261368188988</v>
      </c>
      <c r="T16" s="9"/>
    </row>
    <row r="17" spans="2:20">
      <c r="B17" s="6">
        <v>12</v>
      </c>
      <c r="C17" s="6" t="s">
        <v>25</v>
      </c>
      <c r="D17" s="6" t="s">
        <v>32</v>
      </c>
      <c r="E17" s="6">
        <v>1980</v>
      </c>
      <c r="F17" s="7">
        <v>25.79</v>
      </c>
      <c r="G17" s="7">
        <v>-96.8</v>
      </c>
      <c r="H17" s="7">
        <f>distancekm3(I17,F17,G17,29.28861,-94.789959)</f>
        <v>405.029519184118</v>
      </c>
      <c r="I17" s="17">
        <v>313.606379533777</v>
      </c>
      <c r="J17" s="6">
        <v>945</v>
      </c>
      <c r="K17" s="6">
        <f t="shared" si="0"/>
        <v>68</v>
      </c>
      <c r="L17" s="16">
        <v>37</v>
      </c>
      <c r="M17" s="7">
        <f t="shared" si="6"/>
        <v>19.978409</v>
      </c>
      <c r="N17" s="14">
        <f>O17*1.94384449</f>
        <v>28.5413941338969</v>
      </c>
      <c r="O17" s="5">
        <v>14.6829616673178</v>
      </c>
      <c r="P17" s="6">
        <v>100</v>
      </c>
      <c r="Q17" s="13">
        <f t="shared" si="3"/>
        <v>51.44</v>
      </c>
      <c r="R17" s="13">
        <f t="shared" ref="R17:R25" si="7">LOG(K17,EXP(1))</f>
        <v>4.21950770517611</v>
      </c>
      <c r="S17" s="13">
        <f t="shared" ref="S17:S25" si="8">LOG(M17,EXP(1))</f>
        <v>2.99465214042017</v>
      </c>
      <c r="T17" s="9"/>
    </row>
    <row r="18" spans="2:20">
      <c r="B18" s="6">
        <v>13</v>
      </c>
      <c r="C18" s="6" t="s">
        <v>25</v>
      </c>
      <c r="D18" s="6" t="s">
        <v>33</v>
      </c>
      <c r="E18" s="6">
        <v>1999</v>
      </c>
      <c r="F18" s="7">
        <v>26.59</v>
      </c>
      <c r="G18" s="7">
        <v>-96.8</v>
      </c>
      <c r="H18" s="7">
        <f>distancekm3(I18,F18,G18,29.28861,-94.789959)</f>
        <v>317.704888191093</v>
      </c>
      <c r="I18" s="17">
        <v>301.501154620025</v>
      </c>
      <c r="J18" s="6">
        <v>953</v>
      </c>
      <c r="K18" s="6">
        <f t="shared" si="0"/>
        <v>60</v>
      </c>
      <c r="L18" s="16">
        <v>19</v>
      </c>
      <c r="M18" s="7">
        <f t="shared" si="6"/>
        <v>10.259183</v>
      </c>
      <c r="N18" s="14">
        <f t="shared" ref="N18:N25" si="9">O18*1.94384449</f>
        <v>37.6735137106844</v>
      </c>
      <c r="O18" s="5">
        <v>19.3809298554971</v>
      </c>
      <c r="P18" s="6">
        <v>120</v>
      </c>
      <c r="Q18" s="13">
        <f t="shared" si="3"/>
        <v>61.728</v>
      </c>
      <c r="R18" s="13">
        <f t="shared" si="7"/>
        <v>4.0943445622221</v>
      </c>
      <c r="S18" s="13">
        <f t="shared" si="8"/>
        <v>2.32817320694239</v>
      </c>
      <c r="T18" s="9"/>
    </row>
    <row r="19" spans="2:20">
      <c r="B19" s="6">
        <v>14</v>
      </c>
      <c r="C19" s="6" t="s">
        <v>25</v>
      </c>
      <c r="D19" s="6" t="s">
        <v>34</v>
      </c>
      <c r="E19" s="6">
        <v>2004</v>
      </c>
      <c r="F19" s="7">
        <v>26.55</v>
      </c>
      <c r="G19" s="7">
        <v>-82.16</v>
      </c>
      <c r="H19" s="7">
        <f>distancekm3(I19,F19,G19,29.28861,-94.789959)</f>
        <v>601.327566636391</v>
      </c>
      <c r="I19" s="5">
        <v>12.6010535764399</v>
      </c>
      <c r="J19" s="6">
        <v>950</v>
      </c>
      <c r="K19" s="6">
        <f t="shared" si="0"/>
        <v>63</v>
      </c>
      <c r="L19" s="16">
        <v>19</v>
      </c>
      <c r="M19" s="7">
        <f t="shared" si="6"/>
        <v>10.259183</v>
      </c>
      <c r="N19" s="14">
        <f t="shared" si="9"/>
        <v>19.8970254661308</v>
      </c>
      <c r="O19" s="5">
        <v>10.2359142248724</v>
      </c>
      <c r="P19" s="6">
        <v>130</v>
      </c>
      <c r="Q19" s="13">
        <f t="shared" si="3"/>
        <v>66.872</v>
      </c>
      <c r="R19" s="13">
        <f t="shared" si="7"/>
        <v>4.14313472639153</v>
      </c>
      <c r="S19" s="13">
        <f t="shared" si="8"/>
        <v>2.32817320694239</v>
      </c>
      <c r="T19" s="9"/>
    </row>
    <row r="20" spans="2:20">
      <c r="B20" s="6">
        <v>15</v>
      </c>
      <c r="C20" s="6" t="s">
        <v>25</v>
      </c>
      <c r="D20" s="6" t="s">
        <v>35</v>
      </c>
      <c r="E20" s="6">
        <v>2005</v>
      </c>
      <c r="F20" s="7">
        <v>29.88</v>
      </c>
      <c r="G20" s="7">
        <v>-86.9</v>
      </c>
      <c r="H20" s="7">
        <f>distancekm3(I20,F20,G20,29.28861,-94.789959)</f>
        <v>206.720182738205</v>
      </c>
      <c r="I20" s="17">
        <v>350.66600902147</v>
      </c>
      <c r="J20" s="6">
        <v>952</v>
      </c>
      <c r="K20" s="6">
        <f t="shared" si="0"/>
        <v>61</v>
      </c>
      <c r="L20" s="16">
        <v>11</v>
      </c>
      <c r="M20" s="7">
        <f t="shared" si="6"/>
        <v>5.939527</v>
      </c>
      <c r="N20" s="14">
        <f t="shared" si="9"/>
        <v>32.8522460898271</v>
      </c>
      <c r="O20" s="5">
        <v>16.900655509653</v>
      </c>
      <c r="P20" s="6">
        <v>110</v>
      </c>
      <c r="Q20" s="13">
        <f t="shared" si="3"/>
        <v>56.584</v>
      </c>
      <c r="R20" s="13">
        <f t="shared" si="7"/>
        <v>4.11087386417331</v>
      </c>
      <c r="S20" s="13">
        <f t="shared" si="8"/>
        <v>1.78162950057432</v>
      </c>
      <c r="T20" s="9"/>
    </row>
    <row r="21" spans="2:20">
      <c r="B21" s="6">
        <v>16</v>
      </c>
      <c r="C21" s="6" t="s">
        <v>25</v>
      </c>
      <c r="D21" s="6" t="s">
        <v>36</v>
      </c>
      <c r="E21" s="6">
        <v>2005</v>
      </c>
      <c r="F21" s="7">
        <v>25.89</v>
      </c>
      <c r="G21" s="7">
        <v>-81.69</v>
      </c>
      <c r="H21" s="7">
        <f>distancekm3(I21,F21,G21,29.28861,-94.789959)</f>
        <v>1352.05556846006</v>
      </c>
      <c r="I21" s="5">
        <v>63.746485772978</v>
      </c>
      <c r="J21" s="6">
        <v>951</v>
      </c>
      <c r="K21" s="6">
        <f t="shared" si="0"/>
        <v>62</v>
      </c>
      <c r="L21" s="16">
        <v>73</v>
      </c>
      <c r="M21" s="7">
        <f t="shared" si="6"/>
        <v>39.416861</v>
      </c>
      <c r="N21" s="14">
        <f t="shared" si="9"/>
        <v>41.6305324297625</v>
      </c>
      <c r="O21" s="5">
        <v>21.4165961546453</v>
      </c>
      <c r="P21" s="6">
        <v>105</v>
      </c>
      <c r="Q21" s="13">
        <f t="shared" si="3"/>
        <v>54.012</v>
      </c>
      <c r="R21" s="13">
        <f t="shared" si="7"/>
        <v>4.12713438504509</v>
      </c>
      <c r="S21" s="13">
        <f t="shared" si="8"/>
        <v>3.67419366892434</v>
      </c>
      <c r="T21" s="9"/>
    </row>
    <row r="22" spans="2:20">
      <c r="B22" s="6">
        <v>17</v>
      </c>
      <c r="C22" s="8" t="s">
        <v>37</v>
      </c>
      <c r="D22" s="8" t="s">
        <v>38</v>
      </c>
      <c r="E22" s="8">
        <v>2003</v>
      </c>
      <c r="F22" s="7">
        <v>28.31</v>
      </c>
      <c r="G22" s="7">
        <v>-96.22</v>
      </c>
      <c r="H22" s="7">
        <f>distancekm3(I22,F22,G22,29.28861,-94.789959)</f>
        <v>172.359788239068</v>
      </c>
      <c r="I22" s="17">
        <v>296.619033024854</v>
      </c>
      <c r="J22" s="18">
        <v>979</v>
      </c>
      <c r="K22" s="15">
        <f t="shared" si="0"/>
        <v>34</v>
      </c>
      <c r="L22" s="18">
        <f t="shared" ref="L22:L25" si="10">M22*1.852</f>
        <v>27.78</v>
      </c>
      <c r="M22" s="18">
        <v>15</v>
      </c>
      <c r="N22" s="14">
        <f t="shared" si="9"/>
        <v>39.6825396107235</v>
      </c>
      <c r="O22" s="5">
        <v>20.4144620698148</v>
      </c>
      <c r="P22" s="9">
        <v>80</v>
      </c>
      <c r="Q22" s="13">
        <f t="shared" si="3"/>
        <v>41.152</v>
      </c>
      <c r="R22" s="13">
        <f t="shared" si="7"/>
        <v>3.52636052461616</v>
      </c>
      <c r="S22" s="13">
        <f t="shared" si="8"/>
        <v>2.70805020110221</v>
      </c>
      <c r="T22" s="9"/>
    </row>
    <row r="23" spans="2:20">
      <c r="B23" s="6">
        <v>18</v>
      </c>
      <c r="C23" s="8" t="s">
        <v>37</v>
      </c>
      <c r="D23" s="8" t="s">
        <v>39</v>
      </c>
      <c r="E23" s="8">
        <v>2007</v>
      </c>
      <c r="F23" s="7">
        <v>29.5</v>
      </c>
      <c r="G23" s="7">
        <v>-94.4</v>
      </c>
      <c r="H23" s="7">
        <f>distancekm3(I23,F23,G23,29.28861,-94.789959)</f>
        <v>0.419528957743329</v>
      </c>
      <c r="I23" s="5">
        <v>28.9624239362599</v>
      </c>
      <c r="J23" s="18">
        <v>985</v>
      </c>
      <c r="K23" s="15">
        <f t="shared" si="0"/>
        <v>28</v>
      </c>
      <c r="L23" s="18">
        <f t="shared" si="10"/>
        <v>27.78</v>
      </c>
      <c r="M23" s="18">
        <v>15</v>
      </c>
      <c r="N23" s="14">
        <f t="shared" si="9"/>
        <v>6.53189689458666</v>
      </c>
      <c r="O23" s="5">
        <v>3.36029807332307</v>
      </c>
      <c r="P23" s="9">
        <v>80</v>
      </c>
      <c r="Q23" s="13">
        <f t="shared" si="3"/>
        <v>41.152</v>
      </c>
      <c r="R23" s="13">
        <f t="shared" si="7"/>
        <v>3.3322045101752</v>
      </c>
      <c r="S23" s="13">
        <f t="shared" si="8"/>
        <v>2.70805020110221</v>
      </c>
      <c r="T23" s="9"/>
    </row>
    <row r="24" spans="2:20">
      <c r="B24" s="6">
        <v>19</v>
      </c>
      <c r="C24" s="8" t="s">
        <v>37</v>
      </c>
      <c r="D24" s="8" t="s">
        <v>40</v>
      </c>
      <c r="E24" s="8">
        <v>2008</v>
      </c>
      <c r="F24" s="7">
        <v>25.99</v>
      </c>
      <c r="G24" s="7">
        <v>-96.8</v>
      </c>
      <c r="H24" s="7">
        <f>distancekm3(I24,F24,G24,29.28861,-94.789959)</f>
        <v>408.85487304738</v>
      </c>
      <c r="I24" s="17">
        <v>321.840172154918</v>
      </c>
      <c r="J24" s="18">
        <v>963</v>
      </c>
      <c r="K24" s="6">
        <f t="shared" si="0"/>
        <v>50</v>
      </c>
      <c r="L24" s="18">
        <f t="shared" si="10"/>
        <v>37.04</v>
      </c>
      <c r="M24" s="18">
        <v>20</v>
      </c>
      <c r="N24" s="14">
        <f t="shared" si="9"/>
        <v>32.3035985906002</v>
      </c>
      <c r="O24" s="5">
        <v>16.618406851363</v>
      </c>
      <c r="P24" s="9">
        <v>85</v>
      </c>
      <c r="Q24" s="13">
        <f t="shared" si="3"/>
        <v>43.724</v>
      </c>
      <c r="R24" s="13">
        <f t="shared" si="7"/>
        <v>3.91202300542815</v>
      </c>
      <c r="S24" s="13">
        <f t="shared" si="8"/>
        <v>2.99573227355399</v>
      </c>
      <c r="T24" s="9"/>
    </row>
    <row r="25" spans="2:20">
      <c r="B25" s="6">
        <v>20</v>
      </c>
      <c r="C25" s="8" t="s">
        <v>37</v>
      </c>
      <c r="D25" s="8" t="s">
        <v>41</v>
      </c>
      <c r="E25" s="8">
        <v>2008</v>
      </c>
      <c r="F25" s="7">
        <v>29.3</v>
      </c>
      <c r="G25" s="7">
        <v>-94.7</v>
      </c>
      <c r="H25" s="7">
        <f>distancekm3(I25,F25,G25,29.28861,-94.789959)</f>
        <v>3.72678606799499</v>
      </c>
      <c r="I25" s="17">
        <v>345.373426680431</v>
      </c>
      <c r="J25" s="18">
        <v>935</v>
      </c>
      <c r="K25" s="6">
        <f t="shared" si="0"/>
        <v>78</v>
      </c>
      <c r="L25" s="18">
        <f t="shared" si="10"/>
        <v>55.56</v>
      </c>
      <c r="M25" s="18">
        <v>30</v>
      </c>
      <c r="N25" s="14">
        <f t="shared" si="9"/>
        <v>64.9705709435156</v>
      </c>
      <c r="O25" s="5">
        <v>33.4237493162406</v>
      </c>
      <c r="P25" s="9">
        <v>95</v>
      </c>
      <c r="Q25" s="13">
        <f t="shared" si="3"/>
        <v>48.868</v>
      </c>
      <c r="R25" s="13">
        <f t="shared" si="7"/>
        <v>4.35670882668959</v>
      </c>
      <c r="S25" s="13">
        <f t="shared" si="8"/>
        <v>3.40119738166216</v>
      </c>
      <c r="T25" s="9"/>
    </row>
    <row r="26" spans="2:20">
      <c r="B26" s="4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</row>
    <row r="27" spans="2:20">
      <c r="B27" s="4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2:20">
      <c r="B28" s="4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2:20">
      <c r="B29" s="4"/>
      <c r="C29" s="9"/>
      <c r="D29" s="9"/>
      <c r="E29" s="9"/>
      <c r="F29" s="9"/>
      <c r="G29" s="9" t="s">
        <v>42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  <row r="30" spans="2:20">
      <c r="B30" s="4"/>
      <c r="C30" s="9"/>
      <c r="D30" s="9"/>
      <c r="E30" s="9"/>
      <c r="F30" s="9" t="s">
        <v>43</v>
      </c>
      <c r="G30" s="9"/>
      <c r="H30" s="9" t="s">
        <v>44</v>
      </c>
      <c r="I30" s="9"/>
      <c r="J30" s="9" t="s">
        <v>45</v>
      </c>
      <c r="K30" s="9" t="s">
        <v>46</v>
      </c>
      <c r="L30" s="9" t="s">
        <v>47</v>
      </c>
      <c r="M30" s="9" t="s">
        <v>48</v>
      </c>
      <c r="N30" s="9"/>
      <c r="O30" s="9"/>
      <c r="P30" s="9"/>
      <c r="Q30" s="9"/>
      <c r="R30" s="9"/>
      <c r="S30" s="9"/>
      <c r="T30" s="9"/>
    </row>
    <row r="31" spans="2:20">
      <c r="B31" s="10">
        <v>6</v>
      </c>
      <c r="C31" s="10" t="s">
        <v>49</v>
      </c>
      <c r="D31" s="11" t="s">
        <v>32</v>
      </c>
      <c r="E31" s="11">
        <v>1980</v>
      </c>
      <c r="F31" s="5">
        <v>25.79</v>
      </c>
      <c r="G31" s="5">
        <v>-96.8</v>
      </c>
      <c r="H31" s="5">
        <v>26.1</v>
      </c>
      <c r="I31" s="19">
        <v>-97.2</v>
      </c>
      <c r="J31" s="5">
        <f>distancekm2(F31,G31,H31,I31)</f>
        <v>52.8586620023441</v>
      </c>
      <c r="K31" s="5">
        <f t="shared" ref="K31:K39" si="11">ACOS((H31-F31)*3.1415926/180*6738.1/J31)*180/3.1415926</f>
        <v>46.3936204662225</v>
      </c>
      <c r="L31" s="5">
        <f>360-K31</f>
        <v>313.606379533777</v>
      </c>
      <c r="M31" s="5">
        <f>J31*1000/3600</f>
        <v>14.6829616673178</v>
      </c>
      <c r="N31" s="9"/>
      <c r="O31" s="9"/>
      <c r="P31" s="9"/>
      <c r="Q31" s="9"/>
      <c r="R31" s="9"/>
      <c r="S31" s="9"/>
      <c r="T31" s="9"/>
    </row>
    <row r="32" spans="2:20">
      <c r="B32" s="10">
        <v>7</v>
      </c>
      <c r="C32" s="10" t="s">
        <v>49</v>
      </c>
      <c r="D32" s="11" t="s">
        <v>33</v>
      </c>
      <c r="E32" s="11">
        <v>1999</v>
      </c>
      <c r="F32" s="5">
        <v>26.59</v>
      </c>
      <c r="G32" s="5">
        <v>-96.8</v>
      </c>
      <c r="H32" s="5">
        <v>26.9</v>
      </c>
      <c r="I32" s="19">
        <v>-97.41</v>
      </c>
      <c r="J32" s="5">
        <f>distancekm2(F32,G32,H32,I32)</f>
        <v>69.7713474797894</v>
      </c>
      <c r="K32" s="5">
        <f t="shared" si="11"/>
        <v>58.4988453799753</v>
      </c>
      <c r="L32" s="5">
        <f t="shared" ref="L32:L39" si="12">360-K32</f>
        <v>301.501154620025</v>
      </c>
      <c r="M32" s="5">
        <f t="shared" ref="M31:M39" si="13">J32*1000/3600</f>
        <v>19.3809298554971</v>
      </c>
      <c r="N32" s="9"/>
      <c r="O32" s="9"/>
      <c r="P32" s="9"/>
      <c r="Q32" s="9"/>
      <c r="R32" s="9"/>
      <c r="S32" s="9"/>
      <c r="T32" s="9"/>
    </row>
    <row r="33" spans="2:20">
      <c r="B33" s="6">
        <v>14</v>
      </c>
      <c r="C33" s="6" t="s">
        <v>25</v>
      </c>
      <c r="D33" s="6" t="s">
        <v>34</v>
      </c>
      <c r="E33" s="6">
        <v>2004</v>
      </c>
      <c r="F33" s="5">
        <v>26.59</v>
      </c>
      <c r="G33" s="5">
        <v>-82.19</v>
      </c>
      <c r="H33" s="5">
        <v>26.9</v>
      </c>
      <c r="I33" s="6">
        <v>-82.06</v>
      </c>
      <c r="J33" s="5">
        <f>distancekm2(F33,G33,H33,I33)</f>
        <v>36.8492912095405</v>
      </c>
      <c r="K33" s="5">
        <f t="shared" si="11"/>
        <v>8.37180585929156</v>
      </c>
      <c r="L33" s="5">
        <f t="shared" ref="L33:L37" si="14">K33</f>
        <v>8.37180585929156</v>
      </c>
      <c r="M33" s="5">
        <f>J33*1000/3600</f>
        <v>10.2359142248724</v>
      </c>
      <c r="N33" s="9"/>
      <c r="O33" s="9"/>
      <c r="P33" s="9"/>
      <c r="Q33" s="9"/>
      <c r="R33" s="9"/>
      <c r="S33" s="9"/>
      <c r="T33" s="9"/>
    </row>
    <row r="34" spans="2:20">
      <c r="B34" s="6">
        <v>15</v>
      </c>
      <c r="C34" s="6" t="s">
        <v>25</v>
      </c>
      <c r="D34" s="6" t="s">
        <v>35</v>
      </c>
      <c r="E34" s="6">
        <v>2005</v>
      </c>
      <c r="F34" s="5">
        <v>29.9</v>
      </c>
      <c r="G34" s="5">
        <v>-86.8</v>
      </c>
      <c r="H34" s="5">
        <v>30.39</v>
      </c>
      <c r="I34" s="15">
        <v>-87.08</v>
      </c>
      <c r="J34" s="5">
        <f>distancekm2(F34,G34,H34,I34)</f>
        <v>60.8423598347508</v>
      </c>
      <c r="K34" s="5">
        <f t="shared" si="11"/>
        <v>18.7161913507865</v>
      </c>
      <c r="L34" s="5">
        <f t="shared" si="12"/>
        <v>341.283808649213</v>
      </c>
      <c r="M34" s="5">
        <f>J34*1000/3600</f>
        <v>16.900655509653</v>
      </c>
      <c r="N34" s="9"/>
      <c r="O34" s="9"/>
      <c r="P34" s="9"/>
      <c r="Q34" s="9"/>
      <c r="R34" s="9"/>
      <c r="S34" s="9"/>
      <c r="T34" s="9"/>
    </row>
    <row r="35" spans="2:20">
      <c r="B35" s="6">
        <v>16</v>
      </c>
      <c r="C35" s="6" t="s">
        <v>25</v>
      </c>
      <c r="D35" s="6" t="s">
        <v>36</v>
      </c>
      <c r="E35" s="6">
        <v>2005</v>
      </c>
      <c r="F35" s="5">
        <v>25.89</v>
      </c>
      <c r="G35" s="5">
        <v>-81.69</v>
      </c>
      <c r="H35" s="5">
        <v>26.18</v>
      </c>
      <c r="I35" s="6">
        <v>-80.99</v>
      </c>
      <c r="J35" s="5">
        <f>distancekm2(F35,G35,H35,I35)</f>
        <v>77.0997461567232</v>
      </c>
      <c r="K35" s="5">
        <f t="shared" si="11"/>
        <v>63.746485772978</v>
      </c>
      <c r="L35" s="5">
        <f t="shared" si="14"/>
        <v>63.746485772978</v>
      </c>
      <c r="M35" s="5">
        <f t="shared" si="13"/>
        <v>21.4165961546453</v>
      </c>
      <c r="N35" s="9"/>
      <c r="O35" s="9"/>
      <c r="P35" s="9"/>
      <c r="Q35" s="9"/>
      <c r="R35" s="9"/>
      <c r="S35" s="9"/>
      <c r="T35" s="9"/>
    </row>
    <row r="36" spans="2:20">
      <c r="B36" s="6">
        <v>17</v>
      </c>
      <c r="C36" s="10" t="s">
        <v>37</v>
      </c>
      <c r="D36" s="10" t="s">
        <v>38</v>
      </c>
      <c r="E36" s="10">
        <v>2003</v>
      </c>
      <c r="F36" s="5">
        <v>28.31</v>
      </c>
      <c r="G36" s="5">
        <v>-96.22</v>
      </c>
      <c r="H36" s="5">
        <v>28.59</v>
      </c>
      <c r="I36" s="19">
        <v>-96.9</v>
      </c>
      <c r="J36" s="5">
        <f>distancekm2(F36,G36,H36,I36)</f>
        <v>73.4920634513334</v>
      </c>
      <c r="K36" s="5">
        <f t="shared" si="11"/>
        <v>63.3809669751457</v>
      </c>
      <c r="L36" s="5">
        <f t="shared" si="12"/>
        <v>296.619033024854</v>
      </c>
      <c r="M36" s="5">
        <f t="shared" si="13"/>
        <v>20.4144620698148</v>
      </c>
      <c r="N36" s="9"/>
      <c r="O36" s="9"/>
      <c r="P36" s="9"/>
      <c r="Q36" s="9"/>
      <c r="R36" s="9"/>
      <c r="S36" s="9"/>
      <c r="T36" s="9"/>
    </row>
    <row r="37" spans="2:20">
      <c r="B37" s="6">
        <v>18</v>
      </c>
      <c r="C37" s="10" t="s">
        <v>37</v>
      </c>
      <c r="D37" s="10" t="s">
        <v>39</v>
      </c>
      <c r="E37" s="10">
        <v>2007</v>
      </c>
      <c r="F37" s="5">
        <v>29.49</v>
      </c>
      <c r="G37" s="5">
        <v>-94.37</v>
      </c>
      <c r="H37" s="5">
        <v>29.58</v>
      </c>
      <c r="I37" s="11">
        <v>-94.3</v>
      </c>
      <c r="J37" s="5">
        <f>distancekm2(F37,G37,H37,I37)</f>
        <v>12.0970730639631</v>
      </c>
      <c r="K37" s="5">
        <f t="shared" si="11"/>
        <v>28.9624239362599</v>
      </c>
      <c r="L37" s="5">
        <f t="shared" si="14"/>
        <v>28.9624239362599</v>
      </c>
      <c r="M37" s="5">
        <f t="shared" si="13"/>
        <v>3.36029807332307</v>
      </c>
      <c r="N37" s="9"/>
      <c r="O37" s="9"/>
      <c r="P37" s="9"/>
      <c r="Q37" s="9"/>
      <c r="R37" s="9"/>
      <c r="S37" s="9"/>
      <c r="T37" s="9"/>
    </row>
    <row r="38" spans="2:20">
      <c r="B38" s="6">
        <v>19</v>
      </c>
      <c r="C38" s="10" t="s">
        <v>37</v>
      </c>
      <c r="D38" s="10" t="s">
        <v>40</v>
      </c>
      <c r="E38" s="10">
        <v>2008</v>
      </c>
      <c r="F38" s="5">
        <v>25.99</v>
      </c>
      <c r="G38" s="5">
        <v>-96.8</v>
      </c>
      <c r="H38" s="5">
        <v>26.39</v>
      </c>
      <c r="I38" s="19">
        <v>-97.2</v>
      </c>
      <c r="J38" s="5">
        <f>distancekm2(F38,G38,H38,I38)</f>
        <v>59.8262646649068</v>
      </c>
      <c r="K38" s="5">
        <f t="shared" si="11"/>
        <v>38.1598278450821</v>
      </c>
      <c r="L38" s="5">
        <f t="shared" si="12"/>
        <v>321.840172154918</v>
      </c>
      <c r="M38" s="5">
        <f t="shared" si="13"/>
        <v>16.618406851363</v>
      </c>
      <c r="N38" s="9"/>
      <c r="O38" s="9"/>
      <c r="P38" s="9"/>
      <c r="Q38" s="9"/>
      <c r="R38" s="9"/>
      <c r="S38" s="9"/>
      <c r="T38" s="9"/>
    </row>
    <row r="39" spans="2:20">
      <c r="B39" s="6">
        <v>20</v>
      </c>
      <c r="C39" s="10" t="s">
        <v>37</v>
      </c>
      <c r="D39" s="10" t="s">
        <v>41</v>
      </c>
      <c r="E39" s="10">
        <v>2008</v>
      </c>
      <c r="F39" s="5">
        <v>29.3</v>
      </c>
      <c r="G39" s="5">
        <v>-94.7</v>
      </c>
      <c r="H39" s="5">
        <v>30.27</v>
      </c>
      <c r="I39" s="19">
        <v>-95.1</v>
      </c>
      <c r="J39" s="5">
        <f>distancekm2(F39,G39,H39,I39)</f>
        <v>114.686126617354</v>
      </c>
      <c r="K39" s="5">
        <f t="shared" si="11"/>
        <v>5.92253631764437</v>
      </c>
      <c r="L39" s="5">
        <f t="shared" si="12"/>
        <v>354.077463682356</v>
      </c>
      <c r="M39" s="5">
        <f t="shared" si="13"/>
        <v>31.8572573937094</v>
      </c>
      <c r="N39" s="9"/>
      <c r="O39" s="9"/>
      <c r="P39" s="9"/>
      <c r="Q39" s="9"/>
      <c r="R39" s="9"/>
      <c r="S39" s="9"/>
      <c r="T39" s="9"/>
    </row>
    <row r="40" spans="2:20">
      <c r="B40" s="4"/>
      <c r="C40" s="9"/>
      <c r="D40" s="9"/>
      <c r="E40" s="9"/>
      <c r="F40" s="9"/>
      <c r="G40" s="9"/>
      <c r="H40" s="9"/>
      <c r="I40" s="9"/>
      <c r="J40" s="9"/>
      <c r="K40" s="5"/>
      <c r="L40" s="9"/>
      <c r="M40" s="5"/>
      <c r="N40" s="9"/>
      <c r="O40" s="9"/>
      <c r="P40" s="9"/>
      <c r="Q40" s="9"/>
      <c r="R40" s="9"/>
      <c r="S40" s="9"/>
      <c r="T40" s="9"/>
    </row>
    <row r="41" spans="2:20">
      <c r="B41" s="9"/>
      <c r="C41" s="9"/>
      <c r="D41" s="9"/>
      <c r="E41" s="9"/>
      <c r="F41" s="9"/>
      <c r="G41" s="9"/>
      <c r="H41" s="9"/>
      <c r="I41" s="9"/>
      <c r="J41" s="9"/>
      <c r="K41" s="9"/>
      <c r="L41" s="11"/>
      <c r="M41" s="20"/>
      <c r="N41" s="11"/>
      <c r="O41" s="11"/>
      <c r="P41" s="11"/>
      <c r="Q41" s="21"/>
      <c r="R41" s="11"/>
      <c r="S41" s="11"/>
      <c r="T41" s="11"/>
    </row>
    <row r="42" spans="2:20">
      <c r="B42" s="9"/>
      <c r="C42" s="9"/>
      <c r="D42" s="9"/>
      <c r="E42" s="9"/>
      <c r="F42" s="9"/>
      <c r="G42" s="9"/>
      <c r="H42" s="9"/>
      <c r="I42" s="9"/>
      <c r="J42" s="9"/>
      <c r="K42" s="9"/>
      <c r="L42" s="11"/>
      <c r="M42" s="20"/>
      <c r="N42" s="11"/>
      <c r="O42" s="11"/>
      <c r="P42" s="11"/>
      <c r="Q42" s="21"/>
      <c r="R42" s="11"/>
      <c r="S42" s="11"/>
      <c r="T42" s="11"/>
    </row>
  </sheetData>
  <mergeCells count="1">
    <mergeCell ref="C2:P2"/>
  </mergeCell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F20"/>
  <sheetViews>
    <sheetView tabSelected="1" workbookViewId="0">
      <selection activeCell="H15" sqref="H15"/>
    </sheetView>
  </sheetViews>
  <sheetFormatPr defaultColWidth="9" defaultRowHeight="12.75" outlineLevelCol="5"/>
  <cols>
    <col min="1" max="1" width="9" style="1"/>
    <col min="2" max="2" width="9.375" style="1"/>
    <col min="3" max="3" width="9" style="1"/>
    <col min="4" max="4" width="7.25" style="1" customWidth="1"/>
    <col min="5" max="5" width="12.625" style="1"/>
    <col min="6" max="6" width="9" style="1"/>
    <col min="7" max="7" width="10.375" style="1"/>
    <col min="8" max="8" width="12.625" style="1"/>
    <col min="9" max="16384" width="9" style="1"/>
  </cols>
  <sheetData>
    <row r="1" spans="1:6">
      <c r="A1" s="1">
        <v>1985</v>
      </c>
      <c r="B1" s="2">
        <v>548.117443226431</v>
      </c>
      <c r="C1" s="2">
        <v>297.3</v>
      </c>
      <c r="D1" s="1">
        <v>54</v>
      </c>
      <c r="E1" s="2">
        <v>13</v>
      </c>
      <c r="F1" s="2">
        <v>15</v>
      </c>
    </row>
    <row r="2" spans="1:6">
      <c r="A2" s="1">
        <v>1985</v>
      </c>
      <c r="B2" s="2">
        <v>259.356790617968</v>
      </c>
      <c r="C2" s="2">
        <v>295.6</v>
      </c>
      <c r="D2" s="1">
        <v>42</v>
      </c>
      <c r="E2" s="2">
        <v>16</v>
      </c>
      <c r="F2" s="2">
        <v>8.6</v>
      </c>
    </row>
    <row r="3" spans="1:6">
      <c r="A3" s="1">
        <v>1985</v>
      </c>
      <c r="B3" s="2">
        <v>597.553257057374</v>
      </c>
      <c r="C3" s="2">
        <v>40.4</v>
      </c>
      <c r="D3" s="1">
        <v>46</v>
      </c>
      <c r="E3" s="2">
        <v>28</v>
      </c>
      <c r="F3" s="2">
        <v>14.4</v>
      </c>
    </row>
    <row r="4" spans="1:6">
      <c r="A4" s="1">
        <v>1995</v>
      </c>
      <c r="B4" s="2">
        <v>643.323115156072</v>
      </c>
      <c r="C4" s="2">
        <v>312.8</v>
      </c>
      <c r="D4" s="1">
        <v>40</v>
      </c>
      <c r="E4" s="2">
        <v>33</v>
      </c>
      <c r="F4" s="2">
        <v>11</v>
      </c>
    </row>
    <row r="5" spans="1:6">
      <c r="A5" s="1">
        <v>1998</v>
      </c>
      <c r="B5" s="2">
        <v>259.032571324235</v>
      </c>
      <c r="C5" s="2">
        <v>347.7</v>
      </c>
      <c r="D5" s="1">
        <v>49</v>
      </c>
      <c r="E5" s="2">
        <v>50</v>
      </c>
      <c r="F5" s="2">
        <v>4.1</v>
      </c>
    </row>
    <row r="6" spans="1:6">
      <c r="A6" s="1">
        <v>1992</v>
      </c>
      <c r="B6" s="2">
        <v>165.791372556003</v>
      </c>
      <c r="C6" s="2">
        <v>333.4</v>
      </c>
      <c r="D6" s="1">
        <v>64</v>
      </c>
      <c r="E6" s="2">
        <v>16.19871</v>
      </c>
      <c r="F6" s="2">
        <v>10.9</v>
      </c>
    </row>
    <row r="7" spans="1:6">
      <c r="A7" s="1">
        <v>1995</v>
      </c>
      <c r="B7" s="2">
        <v>164.386450253928</v>
      </c>
      <c r="C7" s="2">
        <v>18.6</v>
      </c>
      <c r="D7" s="1">
        <v>73</v>
      </c>
      <c r="E7" s="2">
        <v>37.257033</v>
      </c>
      <c r="F7" s="2">
        <v>21.3</v>
      </c>
    </row>
    <row r="8" spans="1:6">
      <c r="A8" s="1">
        <v>2002</v>
      </c>
      <c r="B8" s="2">
        <v>100.674786332801</v>
      </c>
      <c r="C8" s="2">
        <v>344.1</v>
      </c>
      <c r="D8" s="1">
        <v>47</v>
      </c>
      <c r="E8" s="2">
        <v>15.118796</v>
      </c>
      <c r="F8" s="2">
        <v>12.9</v>
      </c>
    </row>
    <row r="9" spans="1:6">
      <c r="A9" s="1">
        <v>2004</v>
      </c>
      <c r="B9" s="2">
        <v>19.5360650456741</v>
      </c>
      <c r="C9" s="2">
        <v>9.8</v>
      </c>
      <c r="D9" s="1">
        <v>58</v>
      </c>
      <c r="E9" s="2">
        <v>30.237592</v>
      </c>
      <c r="F9" s="2">
        <v>12.7</v>
      </c>
    </row>
    <row r="10" spans="1:6">
      <c r="A10" s="1">
        <v>2005</v>
      </c>
      <c r="B10" s="2">
        <v>23.5793359707841</v>
      </c>
      <c r="C10" s="2">
        <v>2.2</v>
      </c>
      <c r="D10" s="1">
        <v>94</v>
      </c>
      <c r="E10" s="2">
        <v>25.377979</v>
      </c>
      <c r="F10" s="2">
        <v>14.6</v>
      </c>
    </row>
    <row r="11" spans="1:6">
      <c r="A11" s="1">
        <v>2005</v>
      </c>
      <c r="B11" s="2">
        <v>85.8854771589578</v>
      </c>
      <c r="C11" s="2">
        <v>335.2</v>
      </c>
      <c r="D11" s="1">
        <v>67</v>
      </c>
      <c r="E11" s="2">
        <v>21.59828</v>
      </c>
      <c r="F11" s="2">
        <v>11.3</v>
      </c>
    </row>
    <row r="12" spans="1:6">
      <c r="A12" s="1">
        <v>1980</v>
      </c>
      <c r="B12" s="2">
        <v>405.029519184118</v>
      </c>
      <c r="C12" s="2">
        <v>313.606379533777</v>
      </c>
      <c r="D12" s="1">
        <v>68</v>
      </c>
      <c r="E12" s="2">
        <v>19.978409</v>
      </c>
      <c r="F12" s="2">
        <v>28.5413941338969</v>
      </c>
    </row>
    <row r="13" spans="1:6">
      <c r="A13" s="1">
        <v>1999</v>
      </c>
      <c r="B13" s="2">
        <v>317.704888191093</v>
      </c>
      <c r="C13" s="2">
        <v>301.501154620025</v>
      </c>
      <c r="D13" s="1">
        <v>60</v>
      </c>
      <c r="E13" s="2">
        <v>10.259183</v>
      </c>
      <c r="F13" s="2">
        <v>37.6735137106844</v>
      </c>
    </row>
    <row r="14" spans="1:6">
      <c r="A14" s="1">
        <v>2004</v>
      </c>
      <c r="B14" s="2">
        <v>601.327566636391</v>
      </c>
      <c r="C14" s="2">
        <v>12.6010535764399</v>
      </c>
      <c r="D14" s="1">
        <v>63</v>
      </c>
      <c r="E14" s="2">
        <v>10.259183</v>
      </c>
      <c r="F14" s="2">
        <v>19.8970254661308</v>
      </c>
    </row>
    <row r="15" spans="1:6">
      <c r="A15" s="1">
        <v>2005</v>
      </c>
      <c r="B15" s="2">
        <v>206.720182738205</v>
      </c>
      <c r="C15" s="2">
        <v>350.66600902147</v>
      </c>
      <c r="D15" s="1">
        <v>61</v>
      </c>
      <c r="E15" s="2">
        <v>5.939527</v>
      </c>
      <c r="F15" s="2">
        <v>32.8522460898271</v>
      </c>
    </row>
    <row r="16" spans="1:6">
      <c r="A16" s="1">
        <v>2005</v>
      </c>
      <c r="B16" s="2">
        <v>1352.05556846006</v>
      </c>
      <c r="C16" s="2">
        <v>63.746485772978</v>
      </c>
      <c r="D16" s="1">
        <v>62</v>
      </c>
      <c r="E16" s="2">
        <v>39.416861</v>
      </c>
      <c r="F16" s="2">
        <v>41.6305324297625</v>
      </c>
    </row>
    <row r="17" spans="1:6">
      <c r="A17" s="1">
        <v>2003</v>
      </c>
      <c r="B17" s="2">
        <v>172.359788239068</v>
      </c>
      <c r="C17" s="2">
        <v>296.619033024854</v>
      </c>
      <c r="D17" s="1">
        <v>34</v>
      </c>
      <c r="E17" s="2">
        <v>15</v>
      </c>
      <c r="F17" s="2">
        <v>39.6825396107235</v>
      </c>
    </row>
    <row r="18" spans="1:6">
      <c r="A18" s="1">
        <v>2007</v>
      </c>
      <c r="B18" s="2">
        <v>0.419528957743329</v>
      </c>
      <c r="C18" s="2">
        <v>28.9624239362599</v>
      </c>
      <c r="D18" s="1">
        <v>28</v>
      </c>
      <c r="E18" s="2">
        <v>15</v>
      </c>
      <c r="F18" s="2">
        <v>6.53189689458666</v>
      </c>
    </row>
    <row r="19" spans="1:6">
      <c r="A19" s="1">
        <v>2008</v>
      </c>
      <c r="B19" s="2">
        <v>408.85487304738</v>
      </c>
      <c r="C19" s="2">
        <v>321.840172154918</v>
      </c>
      <c r="D19" s="1">
        <v>50</v>
      </c>
      <c r="E19" s="2">
        <v>20</v>
      </c>
      <c r="F19" s="2">
        <v>32.3035985906002</v>
      </c>
    </row>
    <row r="20" spans="1:6">
      <c r="A20" s="1">
        <v>2008</v>
      </c>
      <c r="B20" s="2">
        <v>3.72678606799499</v>
      </c>
      <c r="C20" s="2">
        <v>345.373426680431</v>
      </c>
      <c r="D20" s="1">
        <v>78</v>
      </c>
      <c r="E20" s="2">
        <v>30</v>
      </c>
      <c r="F20" s="2">
        <v>64.9705709435156</v>
      </c>
    </row>
  </sheetData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"/>
  <sheetViews>
    <sheetView topLeftCell="A9" workbookViewId="0">
      <selection activeCell="P11" sqref="P11"/>
    </sheetView>
  </sheetViews>
  <sheetFormatPr defaultColWidth="9" defaultRowHeight="14.25"/>
  <sheetData/>
  <pageMargins left="0.75" right="0.75" top="1" bottom="1" header="0.510416666666667" footer="0.510416666666667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个人版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 Source</vt:lpstr>
      <vt:lpstr>Dataset</vt:lpstr>
      <vt:lpstr>Graph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dell-1</dc:creator>
  <dcterms:created xsi:type="dcterms:W3CDTF">2015-07-13T20:44:00Z</dcterms:created>
  <dcterms:modified xsi:type="dcterms:W3CDTF">2016-02-28T02:25:53Z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2052-10.1.0.5457</vt:lpwstr>
  </property>
</Properties>
</file>