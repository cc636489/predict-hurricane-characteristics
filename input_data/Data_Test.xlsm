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+xml" PartName="/xl/drawings/drawing1.xml"/>
  <Default ContentType="application/vnd.openxmlformats-officedocument.vmlDrawing" Extension="v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395" windowHeight="8520"/>
  </bookViews>
  <sheets>
    <sheet name="DATA SOURCE" sheetId="1" r:id="rId1"/>
    <sheet name="Graph" sheetId="2" r:id="rId2"/>
    <sheet name="Sheet3" sheetId="3" r:id="rId3"/>
  </sheets>
  <externalReferences>
    <externalReference r:id="rId4"/>
  </externalReferences>
  <calcPr calcId="144525"/>
</workbook>
</file>

<file path=xl/sharedStrings.xml><?xml version="1.0" encoding="utf-8"?>
<sst xmlns="http://schemas.openxmlformats.org/spreadsheetml/2006/main" count="46">
  <si>
    <t xml:space="preserve">The data is used for learning JPMOS, and It's exactly the same as the Report of FLOOD HAZARDS FOR MISSISSIPPI </t>
  </si>
  <si>
    <t>Names</t>
  </si>
  <si>
    <t>Year</t>
  </si>
  <si>
    <t>Landfall latitude (N)</t>
  </si>
  <si>
    <t>Landfall longitude (E)</t>
  </si>
  <si>
    <t>Distance     to RP      (km)</t>
  </si>
  <si>
    <t>Heading angle(deg)</t>
  </si>
  <si>
    <t>Central Pressure (mb)</t>
  </si>
  <si>
    <r>
      <rPr>
        <b/>
        <sz val="10"/>
        <rFont val="Arial"/>
        <charset val="0"/>
      </rPr>
      <t xml:space="preserve">Pressure Deficit    </t>
    </r>
    <r>
      <rPr>
        <b/>
        <sz val="10"/>
        <rFont val="SimSun"/>
        <charset val="0"/>
      </rPr>
      <t>△</t>
    </r>
    <r>
      <rPr>
        <b/>
        <sz val="10"/>
        <rFont val="Arial"/>
        <charset val="0"/>
      </rPr>
      <t>P(mb)</t>
    </r>
  </si>
  <si>
    <t>Radius of max storm (nmile)</t>
  </si>
  <si>
    <t>Forward Speed (knots)</t>
  </si>
  <si>
    <t>Forward Speed    (m/s)</t>
  </si>
  <si>
    <t>Wind Speed (knots)</t>
  </si>
  <si>
    <t>Wind Speed    (m/s)</t>
  </si>
  <si>
    <t>log(pressure)</t>
  </si>
  <si>
    <t>log(radius)</t>
  </si>
  <si>
    <t xml:space="preserve"> Unnamed</t>
  </si>
  <si>
    <t>Flossy</t>
  </si>
  <si>
    <t>Audrey</t>
  </si>
  <si>
    <t>Ethel</t>
  </si>
  <si>
    <t>Hilda</t>
  </si>
  <si>
    <t>betsy</t>
  </si>
  <si>
    <t>Camille</t>
  </si>
  <si>
    <t>Edith</t>
  </si>
  <si>
    <t>Fern</t>
  </si>
  <si>
    <t>Agnes</t>
  </si>
  <si>
    <t>Carmen</t>
  </si>
  <si>
    <t>Eloise</t>
  </si>
  <si>
    <t>frederic</t>
  </si>
  <si>
    <t>Elena</t>
  </si>
  <si>
    <t>Juan</t>
  </si>
  <si>
    <t>kate</t>
  </si>
  <si>
    <t>Andrew</t>
  </si>
  <si>
    <t>Erin</t>
  </si>
  <si>
    <t>Opal</t>
  </si>
  <si>
    <t>Georges</t>
  </si>
  <si>
    <t>Lili</t>
  </si>
  <si>
    <t>Ivan</t>
  </si>
  <si>
    <t>Katrina</t>
  </si>
  <si>
    <t>Rita</t>
  </si>
  <si>
    <t>Unnamed</t>
  </si>
  <si>
    <t>Baker</t>
  </si>
  <si>
    <t>Isabell</t>
  </si>
  <si>
    <t>Alma</t>
  </si>
  <si>
    <t>Gladys</t>
  </si>
  <si>
    <t>Ella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</si>
</sst>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176" formatCode="0.0_ "/>
    <numFmt numFmtId="177" formatCode="0.00_ "/>
  </numFmts>
  <fonts count="4">
    <font>
      <sz val="12"/>
      <name val="宋体"/>
      <charset val="0"/>
    </font>
    <font>
      <b/>
      <sz val="10"/>
      <name val="Arial"/>
      <charset val="0"/>
    </font>
    <font>
      <b/>
      <sz val="10"/>
      <color indexed="10"/>
      <name val="Arial"/>
      <charset val="0"/>
    </font>
    <font>
      <b/>
      <sz val="10"/>
      <name val="SimSun"/>
      <charset val="0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177" fontId="1" fillId="0" borderId="1" xfId="0" applyNumberFormat="1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6" fontId="1" fillId="0" borderId="1" xfId="0" applyNumberFormat="1" applyFont="1" applyBorder="1" applyAlignment="1">
      <alignment horizontal="center" vertical="center" wrapText="1"/>
    </xf>
    <xf numFmtId="177" fontId="1" fillId="0" borderId="1" xfId="0" applyNumberFormat="1" applyFont="1" applyBorder="1" applyAlignment="1">
      <alignment horizontal="center" vertical="center" wrapText="1"/>
    </xf>
    <xf numFmtId="176" fontId="2" fillId="0" borderId="1" xfId="0" applyNumberFormat="1" applyFont="1" applyBorder="1" applyAlignment="1">
      <alignment horizontal="center" vertical="center" wrapText="1"/>
    </xf>
    <xf numFmtId="0" fontId="2" fillId="0" borderId="1" xfId="0" applyNumberFormat="1" applyFont="1" applyBorder="1" applyAlignment="1">
      <alignment horizontal="center" vertical="center" wrapText="1"/>
    </xf>
  </cellXfs>
  <cellStyles count="6">
    <cellStyle name="常规" xfId="0" builtinId="0"/>
    <cellStyle name="千位分隔" xfId="1" builtinId="3"/>
    <cellStyle name="货币" xfId="2" builtinId="4"/>
    <cellStyle name="千位分隔[0]" xfId="3" builtinId="6"/>
    <cellStyle name="百分比" xfId="4" builtinId="5"/>
    <cellStyle name="货币[0]" xfId="5" builtinId="7"/>
  </cellStyle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roundedCorners val="0"/>
  <c:chart>
    <c:title>
      <c:tx>
        <c:rich>
          <a:bodyPr rot="0" vert="horz"/>
          <a:lstStyle/>
          <a:p>
            <a:pPr algn="ctr"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zh-CN"/>
              <a:t>RMW of Hurricane in Gulf of Mexico</a:t>
            </a:r>
          </a:p>
        </c:rich>
      </c:tx>
      <c:layout/>
      <c:overlay val="0"/>
      <c:spPr>
        <a:noFill/>
        <a:ln>
          <a:noFill/>
        </a:ln>
      </c:spPr>
    </c:title>
    <c:autoTitleDeleted val="0"/>
    <c:plotArea>
      <c:layout/>
      <c:scatterChart>
        <c:scatterStyle val="marker"/>
        <c:varyColors val="0"/>
        <c:ser>
          <c:idx val="0"/>
          <c:order val="0"/>
          <c:tx>
            <c:strRef>
              <c:f>'DATA SOURCE'!$B$20</c:f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3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3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3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xVal>
            <c:numRef>
              <c:f>'DATA SOURCE'!$C$5:$C$37</c:f>
              <c:numCache>
                <c:ptCount val="33"/>
                <c:pt idx="0">
                  <c:v>1943</c:v>
                </c:pt>
                <c:pt idx="1">
                  <c:v>1947</c:v>
                </c:pt>
                <c:pt idx="2">
                  <c:v>1956</c:v>
                </c:pt>
                <c:pt idx="3">
                  <c:v>1957</c:v>
                </c:pt>
                <c:pt idx="4">
                  <c:v>1960</c:v>
                </c:pt>
                <c:pt idx="5">
                  <c:v>1964</c:v>
                </c:pt>
                <c:pt idx="6">
                  <c:v>1965</c:v>
                </c:pt>
                <c:pt idx="7">
                  <c:v>1969</c:v>
                </c:pt>
                <c:pt idx="8">
                  <c:v>1971</c:v>
                </c:pt>
                <c:pt idx="9">
                  <c:v>1971</c:v>
                </c:pt>
                <c:pt idx="10">
                  <c:v>1972</c:v>
                </c:pt>
                <c:pt idx="11">
                  <c:v>1974</c:v>
                </c:pt>
                <c:pt idx="12">
                  <c:v>1975</c:v>
                </c:pt>
                <c:pt idx="13">
                  <c:v>1979</c:v>
                </c:pt>
                <c:pt idx="14">
                  <c:v>1985</c:v>
                </c:pt>
                <c:pt idx="15">
                  <c:v>1985</c:v>
                </c:pt>
                <c:pt idx="16">
                  <c:v>1985</c:v>
                </c:pt>
                <c:pt idx="17">
                  <c:v>1992</c:v>
                </c:pt>
                <c:pt idx="18">
                  <c:v>1995</c:v>
                </c:pt>
                <c:pt idx="19">
                  <c:v>1995</c:v>
                </c:pt>
                <c:pt idx="20">
                  <c:v>1998</c:v>
                </c:pt>
                <c:pt idx="21">
                  <c:v>2002</c:v>
                </c:pt>
                <c:pt idx="22">
                  <c:v>2004</c:v>
                </c:pt>
                <c:pt idx="23">
                  <c:v>2005</c:v>
                </c:pt>
                <c:pt idx="24">
                  <c:v>2005</c:v>
                </c:pt>
                <c:pt idx="25">
                  <c:v>1940</c:v>
                </c:pt>
                <c:pt idx="26">
                  <c:v>1941</c:v>
                </c:pt>
                <c:pt idx="27">
                  <c:v>1945</c:v>
                </c:pt>
                <c:pt idx="28">
                  <c:v>1950</c:v>
                </c:pt>
                <c:pt idx="29">
                  <c:v>1964</c:v>
                </c:pt>
                <c:pt idx="30">
                  <c:v>1966</c:v>
                </c:pt>
                <c:pt idx="31">
                  <c:v>1968</c:v>
                </c:pt>
                <c:pt idx="32">
                  <c:v>1970</c:v>
                </c:pt>
              </c:numCache>
            </c:numRef>
          </c:xVal>
          <c:yVal>
            <c:numRef>
              <c:f>'DATA SOURCE'!$J$5:$J$37</c:f>
              <c:numCache>
                <c:ptCount val="33"/>
                <c:pt idx="0">
                  <c:v>16</c:v>
                </c:pt>
                <c:pt idx="1">
                  <c:v>23</c:v>
                </c:pt>
                <c:pt idx="2">
                  <c:v>30</c:v>
                </c:pt>
                <c:pt idx="3">
                  <c:v>25</c:v>
                </c:pt>
                <c:pt idx="4">
                  <c:v>18</c:v>
                </c:pt>
                <c:pt idx="5">
                  <c:v>21</c:v>
                </c:pt>
                <c:pt idx="6">
                  <c:v>40</c:v>
                </c:pt>
                <c:pt idx="7">
                  <c:v>12</c:v>
                </c:pt>
                <c:pt idx="8">
                  <c:v>27</c:v>
                </c:pt>
                <c:pt idx="9">
                  <c:v>37</c:v>
                </c:pt>
                <c:pt idx="10">
                  <c:v>20</c:v>
                </c:pt>
                <c:pt idx="11">
                  <c:v>15</c:v>
                </c:pt>
                <c:pt idx="12">
                  <c:v>28</c:v>
                </c:pt>
                <c:pt idx="13">
                  <c:v>25</c:v>
                </c:pt>
                <c:pt idx="14">
                  <c:v>13</c:v>
                </c:pt>
                <c:pt idx="15">
                  <c:v>16</c:v>
                </c:pt>
                <c:pt idx="16">
                  <c:v>28</c:v>
                </c:pt>
                <c:pt idx="17">
                  <c:v>16</c:v>
                </c:pt>
                <c:pt idx="18">
                  <c:v>33</c:v>
                </c:pt>
                <c:pt idx="19">
                  <c:v>39</c:v>
                </c:pt>
                <c:pt idx="20">
                  <c:v>50</c:v>
                </c:pt>
                <c:pt idx="21">
                  <c:v>15</c:v>
                </c:pt>
                <c:pt idx="22">
                  <c:v>27</c:v>
                </c:pt>
                <c:pt idx="23">
                  <c:v>29</c:v>
                </c:pt>
                <c:pt idx="24">
                  <c:v>21</c:v>
                </c:pt>
                <c:pt idx="25">
                  <c:v>11</c:v>
                </c:pt>
                <c:pt idx="26">
                  <c:v>18</c:v>
                </c:pt>
                <c:pt idx="27">
                  <c:v>18</c:v>
                </c:pt>
                <c:pt idx="28">
                  <c:v>21</c:v>
                </c:pt>
                <c:pt idx="29">
                  <c:v>10</c:v>
                </c:pt>
                <c:pt idx="30">
                  <c:v>15</c:v>
                </c:pt>
                <c:pt idx="31">
                  <c:v>17</c:v>
                </c:pt>
                <c:pt idx="32">
                  <c:v>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0"/>
        <c:axId val="1"/>
      </c:scatterChart>
      <c:valAx>
        <c:axId val="0"/>
        <c:scaling>
          <c:orientation val="minMax"/>
          <c:max val="2010"/>
          <c:min val="194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zh-CN"/>
                  <a:t>Time(yr)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</a:p>
        </c:txPr>
        <c:crossAx val="1"/>
        <c:crosses val="autoZero"/>
        <c:crossBetween val="midCat"/>
        <c:majorUnit val="10"/>
        <c:minorUnit val="2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 algn="ctr">
                  <a:defRPr sz="11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zh-CN"/>
                  <a:t>Radius of Maximum Wind (nmile)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</a:p>
        </c:txPr>
        <c:crossAx val="0"/>
        <c:crossesAt val="1940"/>
        <c:crossBetween val="between"/>
      </c:valAx>
      <c:spPr>
        <a:noFill/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>
      <a:noFill/>
    </a:ln>
  </c:spPr>
  <c:txPr>
    <a:bodyPr/>
    <a:lstStyle/>
    <a:p>
      <a:pPr>
        <a:defRPr sz="215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roundedCorners val="0"/>
  <c:chart>
    <c:title>
      <c:tx>
        <c:rich>
          <a:bodyPr rot="0" vert="horz"/>
          <a:lstStyle/>
          <a:p>
            <a:pPr algn="ctr"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zh-CN"/>
              <a:t>landfall location in Gulf of Mexico</a:t>
            </a:r>
          </a:p>
        </c:rich>
      </c:tx>
      <c:layout/>
      <c:overlay val="0"/>
      <c:spPr>
        <a:noFill/>
        <a:ln>
          <a:noFill/>
        </a:ln>
      </c:spPr>
    </c:title>
    <c:autoTitleDeleted val="0"/>
    <c:plotArea>
      <c:layout/>
      <c:scatterChart>
        <c:scatterStyle val="marker"/>
        <c:varyColors val="0"/>
        <c:ser>
          <c:idx val="0"/>
          <c:order val="0"/>
          <c:tx>
            <c:v>haha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3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3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3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xVal>
            <c:numRef>
              <c:f>'DATA SOURCE'!$E$5:$E$37</c:f>
              <c:numCache>
                <c:ptCount val="33"/>
                <c:pt idx="0">
                  <c:v>-94.5</c:v>
                </c:pt>
                <c:pt idx="1">
                  <c:v>-89.5</c:v>
                </c:pt>
                <c:pt idx="2">
                  <c:v>-86.5</c:v>
                </c:pt>
                <c:pt idx="3">
                  <c:v>-93.7</c:v>
                </c:pt>
                <c:pt idx="4">
                  <c:v>-89</c:v>
                </c:pt>
                <c:pt idx="5">
                  <c:v>-91.6</c:v>
                </c:pt>
                <c:pt idx="6">
                  <c:v>-90.3</c:v>
                </c:pt>
                <c:pt idx="7">
                  <c:v>-89.3</c:v>
                </c:pt>
                <c:pt idx="8">
                  <c:v>-92.9</c:v>
                </c:pt>
                <c:pt idx="9">
                  <c:v>-89.5</c:v>
                </c:pt>
                <c:pt idx="10">
                  <c:v>-85.5</c:v>
                </c:pt>
                <c:pt idx="11">
                  <c:v>-91.2</c:v>
                </c:pt>
                <c:pt idx="12">
                  <c:v>-86.2</c:v>
                </c:pt>
                <c:pt idx="13">
                  <c:v>-88.3</c:v>
                </c:pt>
                <c:pt idx="14">
                  <c:v>-89.1</c:v>
                </c:pt>
                <c:pt idx="15">
                  <c:v>-92</c:v>
                </c:pt>
                <c:pt idx="16">
                  <c:v>-85.4</c:v>
                </c:pt>
                <c:pt idx="17">
                  <c:v>-91.4</c:v>
                </c:pt>
                <c:pt idx="18">
                  <c:v>-87.2</c:v>
                </c:pt>
                <c:pt idx="19">
                  <c:v>-87.1</c:v>
                </c:pt>
                <c:pt idx="20">
                  <c:v>-88.9</c:v>
                </c:pt>
                <c:pt idx="21">
                  <c:v>-92.2</c:v>
                </c:pt>
                <c:pt idx="22">
                  <c:v>-87.9</c:v>
                </c:pt>
                <c:pt idx="23">
                  <c:v>-89.6</c:v>
                </c:pt>
                <c:pt idx="24">
                  <c:v>-93.8</c:v>
                </c:pt>
                <c:pt idx="25">
                  <c:v>-93.7</c:v>
                </c:pt>
                <c:pt idx="26">
                  <c:v>-84.7</c:v>
                </c:pt>
                <c:pt idx="27">
                  <c:v>-96.2</c:v>
                </c:pt>
                <c:pt idx="28">
                  <c:v>-88.1</c:v>
                </c:pt>
                <c:pt idx="29">
                  <c:v>-81.3</c:v>
                </c:pt>
                <c:pt idx="30">
                  <c:v>-84.4</c:v>
                </c:pt>
                <c:pt idx="31">
                  <c:v>-82.7</c:v>
                </c:pt>
                <c:pt idx="32">
                  <c:v>-97.7</c:v>
                </c:pt>
              </c:numCache>
            </c:numRef>
          </c:xVal>
          <c:yVal>
            <c:numRef>
              <c:f>'DATA SOURCE'!$D$5:$D$37</c:f>
              <c:numCache>
                <c:ptCount val="33"/>
                <c:pt idx="0">
                  <c:v>29.5</c:v>
                </c:pt>
                <c:pt idx="1">
                  <c:v>29.9</c:v>
                </c:pt>
                <c:pt idx="2">
                  <c:v>30.4</c:v>
                </c:pt>
                <c:pt idx="3">
                  <c:v>29.7</c:v>
                </c:pt>
                <c:pt idx="4">
                  <c:v>30.4</c:v>
                </c:pt>
                <c:pt idx="5">
                  <c:v>29.4</c:v>
                </c:pt>
                <c:pt idx="6">
                  <c:v>29.3</c:v>
                </c:pt>
                <c:pt idx="7">
                  <c:v>30.2</c:v>
                </c:pt>
                <c:pt idx="8">
                  <c:v>29.7</c:v>
                </c:pt>
                <c:pt idx="9">
                  <c:v>29.8</c:v>
                </c:pt>
                <c:pt idx="10">
                  <c:v>29.9</c:v>
                </c:pt>
                <c:pt idx="11">
                  <c:v>29.3</c:v>
                </c:pt>
                <c:pt idx="12">
                  <c:v>30.3</c:v>
                </c:pt>
                <c:pt idx="13">
                  <c:v>30.4</c:v>
                </c:pt>
                <c:pt idx="14">
                  <c:v>30.3</c:v>
                </c:pt>
                <c:pt idx="15">
                  <c:v>29.5</c:v>
                </c:pt>
                <c:pt idx="16">
                  <c:v>29.9</c:v>
                </c:pt>
                <c:pt idx="17">
                  <c:v>29.3</c:v>
                </c:pt>
                <c:pt idx="18">
                  <c:v>30.3</c:v>
                </c:pt>
                <c:pt idx="19">
                  <c:v>30.3</c:v>
                </c:pt>
                <c:pt idx="20">
                  <c:v>30.4</c:v>
                </c:pt>
                <c:pt idx="21">
                  <c:v>29.5</c:v>
                </c:pt>
                <c:pt idx="22">
                  <c:v>30.3</c:v>
                </c:pt>
                <c:pt idx="23">
                  <c:v>29.7</c:v>
                </c:pt>
                <c:pt idx="24">
                  <c:v>29.7</c:v>
                </c:pt>
                <c:pt idx="25">
                  <c:v>29.7</c:v>
                </c:pt>
                <c:pt idx="26">
                  <c:v>29.8</c:v>
                </c:pt>
                <c:pt idx="27">
                  <c:v>28.5</c:v>
                </c:pt>
                <c:pt idx="28">
                  <c:v>30.2</c:v>
                </c:pt>
                <c:pt idx="29">
                  <c:v>25.8</c:v>
                </c:pt>
                <c:pt idx="30">
                  <c:v>30.1</c:v>
                </c:pt>
                <c:pt idx="31">
                  <c:v>28.6</c:v>
                </c:pt>
                <c:pt idx="32">
                  <c:v>23.9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0"/>
        <c:axId val="1"/>
      </c:scatterChart>
      <c:valAx>
        <c:axId val="0"/>
        <c:scaling>
          <c:orientation val="minMax"/>
          <c:max val="-80"/>
          <c:min val="-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2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zh-CN"/>
                  <a:t>longitude(E)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</a:p>
        </c:txPr>
        <c:crossAx val="1"/>
        <c:crossesAt val="23"/>
        <c:crossBetween val="midCat"/>
        <c:majorUnit val="4"/>
        <c:minorUnit val="0.5"/>
      </c:valAx>
      <c:valAx>
        <c:axId val="1"/>
        <c:scaling>
          <c:orientation val="minMax"/>
          <c:max val="32"/>
          <c:min val="2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 algn="ctr">
                  <a:defRPr sz="12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zh-CN"/>
                  <a:t>latitude(N)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</a:p>
        </c:txPr>
        <c:crossAx val="0"/>
        <c:crossesAt val="-100"/>
        <c:crossBetween val="between"/>
        <c:majorUnit val="1"/>
        <c:minorUnit val="0.5"/>
      </c:valAx>
      <c:spPr>
        <a:noFill/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>
      <a:noFill/>
    </a:ln>
  </c:spPr>
  <c:txPr>
    <a:bodyPr/>
    <a:lstStyle/>
    <a:p>
      <a:pPr>
        <a:defRPr sz="215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roundedCorners val="0"/>
  <c:chart>
    <c:title>
      <c:tx>
        <c:rich>
          <a:bodyPr rot="0" vert="horz"/>
          <a:lstStyle/>
          <a:p>
            <a:pPr algn="ctr"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zh-CN"/>
              <a:t>Forward Speed of Hurricane in Gulf of Mexico</a:t>
            </a:r>
          </a:p>
        </c:rich>
      </c:tx>
      <c:layout/>
      <c:overlay val="0"/>
      <c:spPr>
        <a:noFill/>
        <a:ln>
          <a:noFill/>
        </a:ln>
      </c:spPr>
    </c:title>
    <c:autoTitleDeleted val="0"/>
    <c:plotArea>
      <c:layout/>
      <c:scatterChart>
        <c:scatterStyle val="marker"/>
        <c:varyColors val="0"/>
        <c:ser>
          <c:idx val="0"/>
          <c:order val="0"/>
          <c:tx>
            <c:v>ehhe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3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3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3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xVal>
            <c:numRef>
              <c:f>'DATA SOURCE'!$C$5:$C$37</c:f>
              <c:numCache>
                <c:ptCount val="33"/>
                <c:pt idx="0">
                  <c:v>1943</c:v>
                </c:pt>
                <c:pt idx="1">
                  <c:v>1947</c:v>
                </c:pt>
                <c:pt idx="2">
                  <c:v>1956</c:v>
                </c:pt>
                <c:pt idx="3">
                  <c:v>1957</c:v>
                </c:pt>
                <c:pt idx="4">
                  <c:v>1960</c:v>
                </c:pt>
                <c:pt idx="5">
                  <c:v>1964</c:v>
                </c:pt>
                <c:pt idx="6">
                  <c:v>1965</c:v>
                </c:pt>
                <c:pt idx="7">
                  <c:v>1969</c:v>
                </c:pt>
                <c:pt idx="8">
                  <c:v>1971</c:v>
                </c:pt>
                <c:pt idx="9">
                  <c:v>1971</c:v>
                </c:pt>
                <c:pt idx="10">
                  <c:v>1972</c:v>
                </c:pt>
                <c:pt idx="11">
                  <c:v>1974</c:v>
                </c:pt>
                <c:pt idx="12">
                  <c:v>1975</c:v>
                </c:pt>
                <c:pt idx="13">
                  <c:v>1979</c:v>
                </c:pt>
                <c:pt idx="14">
                  <c:v>1985</c:v>
                </c:pt>
                <c:pt idx="15">
                  <c:v>1985</c:v>
                </c:pt>
                <c:pt idx="16">
                  <c:v>1985</c:v>
                </c:pt>
                <c:pt idx="17">
                  <c:v>1992</c:v>
                </c:pt>
                <c:pt idx="18">
                  <c:v>1995</c:v>
                </c:pt>
                <c:pt idx="19">
                  <c:v>1995</c:v>
                </c:pt>
                <c:pt idx="20">
                  <c:v>1998</c:v>
                </c:pt>
                <c:pt idx="21">
                  <c:v>2002</c:v>
                </c:pt>
                <c:pt idx="22">
                  <c:v>2004</c:v>
                </c:pt>
                <c:pt idx="23">
                  <c:v>2005</c:v>
                </c:pt>
                <c:pt idx="24">
                  <c:v>2005</c:v>
                </c:pt>
                <c:pt idx="25">
                  <c:v>1940</c:v>
                </c:pt>
                <c:pt idx="26">
                  <c:v>1941</c:v>
                </c:pt>
                <c:pt idx="27">
                  <c:v>1945</c:v>
                </c:pt>
                <c:pt idx="28">
                  <c:v>1950</c:v>
                </c:pt>
                <c:pt idx="29">
                  <c:v>1964</c:v>
                </c:pt>
                <c:pt idx="30">
                  <c:v>1966</c:v>
                </c:pt>
                <c:pt idx="31">
                  <c:v>1968</c:v>
                </c:pt>
                <c:pt idx="32">
                  <c:v>1970</c:v>
                </c:pt>
              </c:numCache>
            </c:numRef>
          </c:xVal>
          <c:yVal>
            <c:numRef>
              <c:f>'DATA SOURCE'!$K$5:$K$37</c:f>
              <c:numCache>
                <c:ptCount val="33"/>
                <c:pt idx="0">
                  <c:v>5.7</c:v>
                </c:pt>
                <c:pt idx="1">
                  <c:v>16.4</c:v>
                </c:pt>
                <c:pt idx="2">
                  <c:v>9</c:v>
                </c:pt>
                <c:pt idx="3">
                  <c:v>14.1</c:v>
                </c:pt>
                <c:pt idx="4">
                  <c:v>7.4</c:v>
                </c:pt>
                <c:pt idx="5">
                  <c:v>6.2</c:v>
                </c:pt>
                <c:pt idx="6">
                  <c:v>16.5</c:v>
                </c:pt>
                <c:pt idx="7">
                  <c:v>13.3</c:v>
                </c:pt>
                <c:pt idx="8">
                  <c:v>16.3</c:v>
                </c:pt>
                <c:pt idx="9">
                  <c:v>5.9</c:v>
                </c:pt>
                <c:pt idx="10">
                  <c:v>10.1</c:v>
                </c:pt>
                <c:pt idx="11">
                  <c:v>9.3</c:v>
                </c:pt>
                <c:pt idx="12">
                  <c:v>23.4</c:v>
                </c:pt>
                <c:pt idx="13">
                  <c:v>12.7</c:v>
                </c:pt>
                <c:pt idx="14">
                  <c:v>15</c:v>
                </c:pt>
                <c:pt idx="15">
                  <c:v>8.6</c:v>
                </c:pt>
                <c:pt idx="16">
                  <c:v>14.4</c:v>
                </c:pt>
                <c:pt idx="17">
                  <c:v>10.9</c:v>
                </c:pt>
                <c:pt idx="18">
                  <c:v>11</c:v>
                </c:pt>
                <c:pt idx="19">
                  <c:v>21.3</c:v>
                </c:pt>
                <c:pt idx="20">
                  <c:v>4.1</c:v>
                </c:pt>
                <c:pt idx="21">
                  <c:v>12.9</c:v>
                </c:pt>
                <c:pt idx="22">
                  <c:v>12.7</c:v>
                </c:pt>
                <c:pt idx="23">
                  <c:v>14.6</c:v>
                </c:pt>
                <c:pt idx="24">
                  <c:v>11.3</c:v>
                </c:pt>
                <c:pt idx="25">
                  <c:v>8</c:v>
                </c:pt>
                <c:pt idx="26">
                  <c:v>11</c:v>
                </c:pt>
                <c:pt idx="27">
                  <c:v>4</c:v>
                </c:pt>
                <c:pt idx="28">
                  <c:v>23</c:v>
                </c:pt>
                <c:pt idx="29">
                  <c:v>15</c:v>
                </c:pt>
                <c:pt idx="30">
                  <c:v>9</c:v>
                </c:pt>
                <c:pt idx="31">
                  <c:v>10</c:v>
                </c:pt>
                <c:pt idx="32">
                  <c:v>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0"/>
        <c:axId val="1"/>
      </c:scatterChart>
      <c:valAx>
        <c:axId val="0"/>
        <c:scaling>
          <c:orientation val="minMax"/>
          <c:max val="2010"/>
          <c:min val="194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zh-CN"/>
                  <a:t>Time(yr)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</a:p>
        </c:txPr>
        <c:crossAx val="1"/>
        <c:crosses val="autoZero"/>
        <c:crossBetween val="midCat"/>
        <c:majorUnit val="10"/>
        <c:minorUnit val="2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 algn="ctr">
                  <a:defRPr sz="11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zh-CN"/>
                  <a:t>Forward speed (knot)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</a:p>
        </c:txPr>
        <c:crossAx val="0"/>
        <c:crossesAt val="1940"/>
        <c:crossBetween val="between"/>
      </c:valAx>
      <c:spPr>
        <a:noFill/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>
      <a:noFill/>
    </a:ln>
  </c:spPr>
  <c:txPr>
    <a:bodyPr/>
    <a:lstStyle/>
    <a:p>
      <a:pPr>
        <a:defRPr sz="215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roundedCorners val="0"/>
  <c:chart>
    <c:title>
      <c:tx>
        <c:rich>
          <a:bodyPr rot="0" vert="horz"/>
          <a:lstStyle/>
          <a:p>
            <a:pPr algn="ctr"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zh-CN"/>
              <a:t>Heading Angle of Hurricane in Gulf of Mexico</a:t>
            </a:r>
          </a:p>
        </c:rich>
      </c:tx>
      <c:layout/>
      <c:overlay val="0"/>
      <c:spPr>
        <a:noFill/>
        <a:ln>
          <a:noFill/>
        </a:ln>
      </c:spPr>
    </c:title>
    <c:autoTitleDeleted val="0"/>
    <c:plotArea>
      <c:layout/>
      <c:scatterChart>
        <c:scatterStyle val="marker"/>
        <c:varyColors val="0"/>
        <c:ser>
          <c:idx val="0"/>
          <c:order val="0"/>
          <c:tx>
            <c:v>hahha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3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3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3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xVal>
            <c:numRef>
              <c:f>'DATA SOURCE'!$C$5:$C$37</c:f>
              <c:numCache>
                <c:ptCount val="33"/>
                <c:pt idx="0">
                  <c:v>1943</c:v>
                </c:pt>
                <c:pt idx="1">
                  <c:v>1947</c:v>
                </c:pt>
                <c:pt idx="2">
                  <c:v>1956</c:v>
                </c:pt>
                <c:pt idx="3">
                  <c:v>1957</c:v>
                </c:pt>
                <c:pt idx="4">
                  <c:v>1960</c:v>
                </c:pt>
                <c:pt idx="5">
                  <c:v>1964</c:v>
                </c:pt>
                <c:pt idx="6">
                  <c:v>1965</c:v>
                </c:pt>
                <c:pt idx="7">
                  <c:v>1969</c:v>
                </c:pt>
                <c:pt idx="8">
                  <c:v>1971</c:v>
                </c:pt>
                <c:pt idx="9">
                  <c:v>1971</c:v>
                </c:pt>
                <c:pt idx="10">
                  <c:v>1972</c:v>
                </c:pt>
                <c:pt idx="11">
                  <c:v>1974</c:v>
                </c:pt>
                <c:pt idx="12">
                  <c:v>1975</c:v>
                </c:pt>
                <c:pt idx="13">
                  <c:v>1979</c:v>
                </c:pt>
                <c:pt idx="14">
                  <c:v>1985</c:v>
                </c:pt>
                <c:pt idx="15">
                  <c:v>1985</c:v>
                </c:pt>
                <c:pt idx="16">
                  <c:v>1985</c:v>
                </c:pt>
                <c:pt idx="17">
                  <c:v>1992</c:v>
                </c:pt>
                <c:pt idx="18">
                  <c:v>1995</c:v>
                </c:pt>
                <c:pt idx="19">
                  <c:v>1995</c:v>
                </c:pt>
                <c:pt idx="20">
                  <c:v>1998</c:v>
                </c:pt>
                <c:pt idx="21">
                  <c:v>2002</c:v>
                </c:pt>
                <c:pt idx="22">
                  <c:v>2004</c:v>
                </c:pt>
                <c:pt idx="23">
                  <c:v>2005</c:v>
                </c:pt>
                <c:pt idx="24">
                  <c:v>2005</c:v>
                </c:pt>
                <c:pt idx="25">
                  <c:v>1940</c:v>
                </c:pt>
                <c:pt idx="26">
                  <c:v>1941</c:v>
                </c:pt>
                <c:pt idx="27">
                  <c:v>1945</c:v>
                </c:pt>
                <c:pt idx="28">
                  <c:v>1950</c:v>
                </c:pt>
                <c:pt idx="29">
                  <c:v>1964</c:v>
                </c:pt>
                <c:pt idx="30">
                  <c:v>1966</c:v>
                </c:pt>
                <c:pt idx="31">
                  <c:v>1968</c:v>
                </c:pt>
                <c:pt idx="32">
                  <c:v>1970</c:v>
                </c:pt>
              </c:numCache>
            </c:numRef>
          </c:xVal>
          <c:yVal>
            <c:numRef>
              <c:f>'DATA SOURCE'!$G$5:$G$37</c:f>
              <c:numCache>
                <c:ptCount val="33"/>
                <c:pt idx="0">
                  <c:v>296.2</c:v>
                </c:pt>
                <c:pt idx="1">
                  <c:v>298.4</c:v>
                </c:pt>
                <c:pt idx="2">
                  <c:v>66.8</c:v>
                </c:pt>
                <c:pt idx="3">
                  <c:v>9</c:v>
                </c:pt>
                <c:pt idx="4">
                  <c:v>0</c:v>
                </c:pt>
                <c:pt idx="5">
                  <c:v>12.6</c:v>
                </c:pt>
                <c:pt idx="6">
                  <c:v>316.7</c:v>
                </c:pt>
                <c:pt idx="7">
                  <c:v>341.9</c:v>
                </c:pt>
                <c:pt idx="8">
                  <c:v>47.1</c:v>
                </c:pt>
                <c:pt idx="9">
                  <c:v>347.2</c:v>
                </c:pt>
                <c:pt idx="10">
                  <c:v>15.8</c:v>
                </c:pt>
                <c:pt idx="11">
                  <c:v>323.7</c:v>
                </c:pt>
                <c:pt idx="12">
                  <c:v>16.1</c:v>
                </c:pt>
                <c:pt idx="13">
                  <c:v>345.4</c:v>
                </c:pt>
                <c:pt idx="14">
                  <c:v>297.3</c:v>
                </c:pt>
                <c:pt idx="15">
                  <c:v>295.6</c:v>
                </c:pt>
                <c:pt idx="16">
                  <c:v>40.4</c:v>
                </c:pt>
                <c:pt idx="17">
                  <c:v>333.4</c:v>
                </c:pt>
                <c:pt idx="18">
                  <c:v>312.8</c:v>
                </c:pt>
                <c:pt idx="19">
                  <c:v>18.6</c:v>
                </c:pt>
                <c:pt idx="20">
                  <c:v>347.7</c:v>
                </c:pt>
                <c:pt idx="21">
                  <c:v>344.1</c:v>
                </c:pt>
                <c:pt idx="22">
                  <c:v>9.8</c:v>
                </c:pt>
                <c:pt idx="23">
                  <c:v>2.2</c:v>
                </c:pt>
                <c:pt idx="24">
                  <c:v>335.2</c:v>
                </c:pt>
                <c:pt idx="25">
                  <c:v>320</c:v>
                </c:pt>
                <c:pt idx="26">
                  <c:v>350</c:v>
                </c:pt>
                <c:pt idx="27">
                  <c:v>5</c:v>
                </c:pt>
                <c:pt idx="28">
                  <c:v>10</c:v>
                </c:pt>
                <c:pt idx="29">
                  <c:v>40</c:v>
                </c:pt>
                <c:pt idx="30">
                  <c:v>20</c:v>
                </c:pt>
                <c:pt idx="31">
                  <c:v>55</c:v>
                </c:pt>
                <c:pt idx="32">
                  <c:v>280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0"/>
        <c:axId val="1"/>
      </c:scatterChart>
      <c:valAx>
        <c:axId val="0"/>
        <c:scaling>
          <c:orientation val="minMax"/>
          <c:max val="2010"/>
          <c:min val="194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zh-CN"/>
                  <a:t>Time(yr)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</a:p>
        </c:txPr>
        <c:crossAx val="1"/>
        <c:crossesAt val="0"/>
        <c:crossBetween val="midCat"/>
        <c:majorUnit val="10"/>
        <c:minorUnit val="2"/>
      </c:valAx>
      <c:valAx>
        <c:axId val="1"/>
        <c:scaling>
          <c:orientation val="minMax"/>
          <c:max val="36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 algn="ctr">
                  <a:defRPr sz="11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zh-CN"/>
                  <a:t>Heading Angle (deg)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</a:p>
        </c:txPr>
        <c:crossAx val="0"/>
        <c:crossesAt val="1940"/>
        <c:crossBetween val="between"/>
        <c:majorUnit val="30"/>
        <c:minorUnit val="10"/>
      </c:valAx>
      <c:spPr>
        <a:noFill/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>
      <a:noFill/>
    </a:ln>
  </c:spPr>
  <c:txPr>
    <a:bodyPr/>
    <a:lstStyle/>
    <a:p>
      <a:pPr>
        <a:defRPr sz="215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roundedCorners val="0"/>
  <c:chart>
    <c:title>
      <c:tx>
        <c:rich>
          <a:bodyPr rot="0" vert="horz"/>
          <a:lstStyle/>
          <a:p>
            <a:pPr algn="ctr"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zh-CN"/>
              <a:t>Distance to CRP of Hurricane in Gulf of Mexico</a:t>
            </a:r>
          </a:p>
        </c:rich>
      </c:tx>
      <c:layout/>
      <c:overlay val="0"/>
      <c:spPr>
        <a:noFill/>
        <a:ln>
          <a:noFill/>
        </a:ln>
      </c:spPr>
    </c:title>
    <c:autoTitleDeleted val="0"/>
    <c:plotArea>
      <c:layout/>
      <c:scatterChart>
        <c:scatterStyle val="marker"/>
        <c:varyColors val="0"/>
        <c:ser>
          <c:idx val="0"/>
          <c:order val="0"/>
          <c:tx>
            <c:v>hahha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3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3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3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xVal>
            <c:numRef>
              <c:f>'DATA SOURCE'!$C$5:$C$37</c:f>
              <c:numCache>
                <c:ptCount val="33"/>
                <c:pt idx="0">
                  <c:v>1943</c:v>
                </c:pt>
                <c:pt idx="1">
                  <c:v>1947</c:v>
                </c:pt>
                <c:pt idx="2">
                  <c:v>1956</c:v>
                </c:pt>
                <c:pt idx="3">
                  <c:v>1957</c:v>
                </c:pt>
                <c:pt idx="4">
                  <c:v>1960</c:v>
                </c:pt>
                <c:pt idx="5">
                  <c:v>1964</c:v>
                </c:pt>
                <c:pt idx="6">
                  <c:v>1965</c:v>
                </c:pt>
                <c:pt idx="7">
                  <c:v>1969</c:v>
                </c:pt>
                <c:pt idx="8">
                  <c:v>1971</c:v>
                </c:pt>
                <c:pt idx="9">
                  <c:v>1971</c:v>
                </c:pt>
                <c:pt idx="10">
                  <c:v>1972</c:v>
                </c:pt>
                <c:pt idx="11">
                  <c:v>1974</c:v>
                </c:pt>
                <c:pt idx="12">
                  <c:v>1975</c:v>
                </c:pt>
                <c:pt idx="13">
                  <c:v>1979</c:v>
                </c:pt>
                <c:pt idx="14">
                  <c:v>1985</c:v>
                </c:pt>
                <c:pt idx="15">
                  <c:v>1985</c:v>
                </c:pt>
                <c:pt idx="16">
                  <c:v>1985</c:v>
                </c:pt>
                <c:pt idx="17">
                  <c:v>1992</c:v>
                </c:pt>
                <c:pt idx="18">
                  <c:v>1995</c:v>
                </c:pt>
                <c:pt idx="19">
                  <c:v>1995</c:v>
                </c:pt>
                <c:pt idx="20">
                  <c:v>1998</c:v>
                </c:pt>
                <c:pt idx="21">
                  <c:v>2002</c:v>
                </c:pt>
                <c:pt idx="22">
                  <c:v>2004</c:v>
                </c:pt>
                <c:pt idx="23">
                  <c:v>2005</c:v>
                </c:pt>
                <c:pt idx="24">
                  <c:v>2005</c:v>
                </c:pt>
                <c:pt idx="25">
                  <c:v>1940</c:v>
                </c:pt>
                <c:pt idx="26">
                  <c:v>1941</c:v>
                </c:pt>
                <c:pt idx="27">
                  <c:v>1945</c:v>
                </c:pt>
                <c:pt idx="28">
                  <c:v>1950</c:v>
                </c:pt>
                <c:pt idx="29">
                  <c:v>1964</c:v>
                </c:pt>
                <c:pt idx="30">
                  <c:v>1966</c:v>
                </c:pt>
                <c:pt idx="31">
                  <c:v>1968</c:v>
                </c:pt>
                <c:pt idx="32">
                  <c:v>1970</c:v>
                </c:pt>
              </c:numCache>
            </c:numRef>
          </c:xVal>
          <c:yVal>
            <c:numRef>
              <c:f>'DATA SOURCE'!$F$5:$F$37</c:f>
              <c:numCache>
                <c:ptCount val="33"/>
                <c:pt idx="0">
                  <c:v>498.207445561689</c:v>
                </c:pt>
                <c:pt idx="1">
                  <c:v>31.8245434256111</c:v>
                </c:pt>
                <c:pt idx="2">
                  <c:v>247.223808418215</c:v>
                </c:pt>
                <c:pt idx="3">
                  <c:v>21.580378525509</c:v>
                </c:pt>
                <c:pt idx="4">
                  <c:v>28.8630131522624</c:v>
                </c:pt>
                <c:pt idx="5">
                  <c:v>30.8723806174812</c:v>
                </c:pt>
                <c:pt idx="6">
                  <c:v>140.368673941046</c:v>
                </c:pt>
                <c:pt idx="7">
                  <c:v>9.50410962623358e-5</c:v>
                </c:pt>
                <c:pt idx="8">
                  <c:v>236.793757672646</c:v>
                </c:pt>
                <c:pt idx="9">
                  <c:v>48.0561221072853</c:v>
                </c:pt>
                <c:pt idx="10">
                  <c:v>145.975942433553</c:v>
                </c:pt>
                <c:pt idx="11">
                  <c:v>197.034154543675</c:v>
                </c:pt>
                <c:pt idx="12">
                  <c:v>84.1899380974168</c:v>
                </c:pt>
                <c:pt idx="13">
                  <c:v>49.1993414043144</c:v>
                </c:pt>
                <c:pt idx="14">
                  <c:v>22.2561308783705</c:v>
                </c:pt>
                <c:pt idx="15">
                  <c:v>272.792888770135</c:v>
                </c:pt>
                <c:pt idx="16">
                  <c:v>291.106076389681</c:v>
                </c:pt>
                <c:pt idx="17">
                  <c:v>189.49645419494</c:v>
                </c:pt>
                <c:pt idx="18">
                  <c:v>166.007332781807</c:v>
                </c:pt>
                <c:pt idx="19">
                  <c:v>66.7029849406138</c:v>
                </c:pt>
                <c:pt idx="20">
                  <c:v>31.0570790172474</c:v>
                </c:pt>
                <c:pt idx="21">
                  <c:v>161.889297665462</c:v>
                </c:pt>
                <c:pt idx="22">
                  <c:v>15.5001971271081</c:v>
                </c:pt>
                <c:pt idx="23">
                  <c:v>54.3264263510897</c:v>
                </c:pt>
                <c:pt idx="24">
                  <c:v>255.146721949039</c:v>
                </c:pt>
                <c:pt idx="25">
                  <c:v>339.691259413285</c:v>
                </c:pt>
                <c:pt idx="26">
                  <c:v>44.8941030972166</c:v>
                </c:pt>
                <c:pt idx="27">
                  <c:v>121.46446339839</c:v>
                </c:pt>
                <c:pt idx="28">
                  <c:v>23.1082614149457</c:v>
                </c:pt>
                <c:pt idx="29">
                  <c:v>906.235771541945</c:v>
                </c:pt>
                <c:pt idx="30">
                  <c:v>194.227072599095</c:v>
                </c:pt>
                <c:pt idx="31">
                  <c:v>648.261357515048</c:v>
                </c:pt>
                <c:pt idx="32">
                  <c:v>912.539931696778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0"/>
        <c:axId val="1"/>
      </c:scatterChart>
      <c:valAx>
        <c:axId val="0"/>
        <c:scaling>
          <c:orientation val="minMax"/>
          <c:max val="2010"/>
          <c:min val="194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zh-CN"/>
                  <a:t>Time(yr)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</a:p>
        </c:txPr>
        <c:crossAx val="1"/>
        <c:crossesAt val="0"/>
        <c:crossBetween val="midCat"/>
        <c:majorUnit val="10"/>
        <c:minorUnit val="2"/>
      </c:valAx>
      <c:valAx>
        <c:axId val="1"/>
        <c:scaling>
          <c:orientation val="minMax"/>
          <c:max val="1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 algn="ctr">
                  <a:defRPr sz="11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zh-CN"/>
                  <a:t>Distance to CRP (km)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</a:p>
        </c:txPr>
        <c:crossAx val="0"/>
        <c:crossesAt val="1940"/>
        <c:crossBetween val="between"/>
        <c:majorUnit val="100"/>
        <c:minorUnit val="20"/>
      </c:valAx>
      <c:spPr>
        <a:noFill/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>
      <a:noFill/>
    </a:ln>
  </c:spPr>
  <c:txPr>
    <a:bodyPr/>
    <a:lstStyle/>
    <a:p>
      <a:pPr>
        <a:defRPr sz="215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roundedCorners val="0"/>
  <c:chart>
    <c:title>
      <c:tx>
        <c:rich>
          <a:bodyPr rot="0" vert="horz"/>
          <a:lstStyle/>
          <a:p>
            <a:pPr algn="ctr"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zh-CN"/>
              <a:t>Central Pressure of Hurricanes in Gulf of Mexico</a:t>
            </a:r>
          </a:p>
        </c:rich>
      </c:tx>
      <c:layout/>
      <c:overlay val="0"/>
      <c:spPr>
        <a:noFill/>
        <a:ln>
          <a:noFill/>
        </a:ln>
      </c:spPr>
    </c:title>
    <c:autoTitleDeleted val="0"/>
    <c:plotArea>
      <c:layout/>
      <c:scatterChart>
        <c:scatterStyle val="marker"/>
        <c:varyColors val="0"/>
        <c:ser>
          <c:idx val="0"/>
          <c:order val="0"/>
          <c:tx>
            <c:v>camille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3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3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3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xVal>
            <c:numRef>
              <c:f>'DATA SOURCE'!$C$5:$C$37</c:f>
              <c:numCache>
                <c:ptCount val="33"/>
                <c:pt idx="0">
                  <c:v>1943</c:v>
                </c:pt>
                <c:pt idx="1">
                  <c:v>1947</c:v>
                </c:pt>
                <c:pt idx="2">
                  <c:v>1956</c:v>
                </c:pt>
                <c:pt idx="3">
                  <c:v>1957</c:v>
                </c:pt>
                <c:pt idx="4">
                  <c:v>1960</c:v>
                </c:pt>
                <c:pt idx="5">
                  <c:v>1964</c:v>
                </c:pt>
                <c:pt idx="6">
                  <c:v>1965</c:v>
                </c:pt>
                <c:pt idx="7">
                  <c:v>1969</c:v>
                </c:pt>
                <c:pt idx="8">
                  <c:v>1971</c:v>
                </c:pt>
                <c:pt idx="9">
                  <c:v>1971</c:v>
                </c:pt>
                <c:pt idx="10">
                  <c:v>1972</c:v>
                </c:pt>
                <c:pt idx="11">
                  <c:v>1974</c:v>
                </c:pt>
                <c:pt idx="12">
                  <c:v>1975</c:v>
                </c:pt>
                <c:pt idx="13">
                  <c:v>1979</c:v>
                </c:pt>
                <c:pt idx="14">
                  <c:v>1985</c:v>
                </c:pt>
                <c:pt idx="15">
                  <c:v>1985</c:v>
                </c:pt>
                <c:pt idx="16">
                  <c:v>1985</c:v>
                </c:pt>
                <c:pt idx="17">
                  <c:v>1992</c:v>
                </c:pt>
                <c:pt idx="18">
                  <c:v>1995</c:v>
                </c:pt>
                <c:pt idx="19">
                  <c:v>1995</c:v>
                </c:pt>
                <c:pt idx="20">
                  <c:v>1998</c:v>
                </c:pt>
                <c:pt idx="21">
                  <c:v>2002</c:v>
                </c:pt>
                <c:pt idx="22">
                  <c:v>2004</c:v>
                </c:pt>
                <c:pt idx="23">
                  <c:v>2005</c:v>
                </c:pt>
                <c:pt idx="24">
                  <c:v>2005</c:v>
                </c:pt>
                <c:pt idx="25">
                  <c:v>1940</c:v>
                </c:pt>
                <c:pt idx="26">
                  <c:v>1941</c:v>
                </c:pt>
                <c:pt idx="27">
                  <c:v>1945</c:v>
                </c:pt>
                <c:pt idx="28">
                  <c:v>1950</c:v>
                </c:pt>
                <c:pt idx="29">
                  <c:v>1964</c:v>
                </c:pt>
                <c:pt idx="30">
                  <c:v>1966</c:v>
                </c:pt>
                <c:pt idx="31">
                  <c:v>1968</c:v>
                </c:pt>
                <c:pt idx="32">
                  <c:v>1970</c:v>
                </c:pt>
              </c:numCache>
            </c:numRef>
          </c:xVal>
          <c:yVal>
            <c:numRef>
              <c:f>'DATA SOURCE'!$H$5:$H$37</c:f>
              <c:numCache>
                <c:ptCount val="33"/>
                <c:pt idx="0">
                  <c:v>969</c:v>
                </c:pt>
                <c:pt idx="1">
                  <c:v>966</c:v>
                </c:pt>
                <c:pt idx="2">
                  <c:v>974</c:v>
                </c:pt>
                <c:pt idx="3">
                  <c:v>945</c:v>
                </c:pt>
                <c:pt idx="4">
                  <c:v>976</c:v>
                </c:pt>
                <c:pt idx="5">
                  <c:v>959</c:v>
                </c:pt>
                <c:pt idx="6">
                  <c:v>941</c:v>
                </c:pt>
                <c:pt idx="7">
                  <c:v>909</c:v>
                </c:pt>
                <c:pt idx="8">
                  <c:v>978</c:v>
                </c:pt>
                <c:pt idx="9">
                  <c:v>979</c:v>
                </c:pt>
                <c:pt idx="10">
                  <c:v>980</c:v>
                </c:pt>
                <c:pt idx="11">
                  <c:v>952</c:v>
                </c:pt>
                <c:pt idx="12">
                  <c:v>955</c:v>
                </c:pt>
                <c:pt idx="13">
                  <c:v>946</c:v>
                </c:pt>
                <c:pt idx="14">
                  <c:v>959</c:v>
                </c:pt>
                <c:pt idx="15">
                  <c:v>971</c:v>
                </c:pt>
                <c:pt idx="16">
                  <c:v>967</c:v>
                </c:pt>
                <c:pt idx="17">
                  <c:v>956</c:v>
                </c:pt>
                <c:pt idx="18">
                  <c:v>973</c:v>
                </c:pt>
                <c:pt idx="19">
                  <c:v>942</c:v>
                </c:pt>
                <c:pt idx="20">
                  <c:v>964</c:v>
                </c:pt>
                <c:pt idx="21">
                  <c:v>963</c:v>
                </c:pt>
                <c:pt idx="22">
                  <c:v>946</c:v>
                </c:pt>
                <c:pt idx="23">
                  <c:v>920</c:v>
                </c:pt>
                <c:pt idx="24">
                  <c:v>937</c:v>
                </c:pt>
                <c:pt idx="25">
                  <c:v>972</c:v>
                </c:pt>
                <c:pt idx="26">
                  <c:v>981</c:v>
                </c:pt>
                <c:pt idx="27">
                  <c:v>967</c:v>
                </c:pt>
                <c:pt idx="28">
                  <c:v>979</c:v>
                </c:pt>
                <c:pt idx="29">
                  <c:v>969</c:v>
                </c:pt>
                <c:pt idx="30">
                  <c:v>982</c:v>
                </c:pt>
                <c:pt idx="31">
                  <c:v>977</c:v>
                </c:pt>
                <c:pt idx="32">
                  <c:v>967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0"/>
        <c:axId val="1"/>
      </c:scatterChart>
      <c:valAx>
        <c:axId val="0"/>
        <c:scaling>
          <c:orientation val="minMax"/>
          <c:max val="2010"/>
          <c:min val="194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zh-CN"/>
                  <a:t>Time(yr)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</a:p>
        </c:txPr>
        <c:crossAx val="1"/>
        <c:crosses val="autoZero"/>
        <c:crossBetween val="midCat"/>
        <c:majorUnit val="10"/>
        <c:minorUnit val="2"/>
      </c:valAx>
      <c:valAx>
        <c:axId val="1"/>
        <c:scaling>
          <c:orientation val="minMax"/>
          <c:min val="88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 algn="ctr">
                  <a:defRPr sz="11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zh-CN"/>
                  <a:t>Central Pressure(mb)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</a:p>
        </c:txPr>
        <c:crossAx val="0"/>
        <c:crossesAt val="1940"/>
        <c:crossBetween val="between"/>
      </c:valAx>
      <c:spPr>
        <a:noFill/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>
      <a:noFill/>
    </a:ln>
  </c:spPr>
  <c:txPr>
    <a:bodyPr/>
    <a:lstStyle/>
    <a:p>
      <a:pPr>
        <a:defRPr sz="215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roundedCorners val="0"/>
  <c:chart>
    <c:title>
      <c:tx>
        <c:rich>
          <a:bodyPr rot="0" vert="horz"/>
          <a:lstStyle/>
          <a:p>
            <a:pPr algn="ctr"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zh-CN"/>
              <a:t>Distance to CRP in Greater Storm Catalog</a:t>
            </a:r>
          </a:p>
        </c:rich>
      </c:tx>
      <c:layout/>
      <c:overlay val="0"/>
      <c:spPr>
        <a:noFill/>
        <a:ln>
          <a:noFill/>
        </a:ln>
      </c:spPr>
    </c:title>
    <c:autoTitleDeleted val="0"/>
    <c:plotArea>
      <c:layout/>
      <c:scatterChart>
        <c:scatterStyle val="marker"/>
        <c:varyColors val="0"/>
        <c:ser>
          <c:idx val="0"/>
          <c:order val="0"/>
          <c:tx>
            <c:v>hahha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xVal>
            <c:numRef>
              <c:f>'[1]Greater Storm'!$A$1:$A$15</c:f>
              <c:numCache>
                <c:ptCount val="15"/>
                <c:pt idx="0">
                  <c:v>1957</c:v>
                </c:pt>
                <c:pt idx="1">
                  <c:v>1964</c:v>
                </c:pt>
                <c:pt idx="2">
                  <c:v>1965</c:v>
                </c:pt>
                <c:pt idx="3">
                  <c:v>1969</c:v>
                </c:pt>
                <c:pt idx="4">
                  <c:v>1974</c:v>
                </c:pt>
                <c:pt idx="5">
                  <c:v>1975</c:v>
                </c:pt>
                <c:pt idx="6">
                  <c:v>1979</c:v>
                </c:pt>
                <c:pt idx="7">
                  <c:v>1985</c:v>
                </c:pt>
                <c:pt idx="8">
                  <c:v>1992</c:v>
                </c:pt>
                <c:pt idx="9">
                  <c:v>1995</c:v>
                </c:pt>
                <c:pt idx="10">
                  <c:v>1998</c:v>
                </c:pt>
                <c:pt idx="11">
                  <c:v>2002</c:v>
                </c:pt>
                <c:pt idx="12">
                  <c:v>2004</c:v>
                </c:pt>
                <c:pt idx="13">
                  <c:v>2005</c:v>
                </c:pt>
                <c:pt idx="14">
                  <c:v>2005</c:v>
                </c:pt>
              </c:numCache>
            </c:numRef>
          </c:xVal>
          <c:yVal>
            <c:numRef>
              <c:f>'[1]Greater Storm'!$B$1:$B$15</c:f>
              <c:numCache>
                <c:ptCount val="15"/>
                <c:pt idx="0">
                  <c:v>21.580378525509</c:v>
                </c:pt>
                <c:pt idx="1">
                  <c:v>30.8723806174812</c:v>
                </c:pt>
                <c:pt idx="2">
                  <c:v>140.368673941046</c:v>
                </c:pt>
                <c:pt idx="3">
                  <c:v>9.50410962623358e-5</c:v>
                </c:pt>
                <c:pt idx="4">
                  <c:v>197.034154543675</c:v>
                </c:pt>
                <c:pt idx="5">
                  <c:v>84.1899380974168</c:v>
                </c:pt>
                <c:pt idx="6">
                  <c:v>49.1993414043144</c:v>
                </c:pt>
                <c:pt idx="7">
                  <c:v>22.2561308783705</c:v>
                </c:pt>
                <c:pt idx="8">
                  <c:v>189.49645419494</c:v>
                </c:pt>
                <c:pt idx="9">
                  <c:v>66.7029849406138</c:v>
                </c:pt>
                <c:pt idx="10">
                  <c:v>31.0570790172474</c:v>
                </c:pt>
                <c:pt idx="11">
                  <c:v>161.889297665462</c:v>
                </c:pt>
                <c:pt idx="12">
                  <c:v>15.5001971271081</c:v>
                </c:pt>
                <c:pt idx="13">
                  <c:v>54.3264263510897</c:v>
                </c:pt>
                <c:pt idx="14">
                  <c:v>255.146721949039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0"/>
        <c:axId val="1"/>
      </c:scatterChart>
      <c:valAx>
        <c:axId val="0"/>
        <c:scaling>
          <c:orientation val="minMax"/>
          <c:max val="2010"/>
          <c:min val="194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zh-CN"/>
                  <a:t>Time(yr)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</a:p>
        </c:txPr>
        <c:crossAx val="1"/>
        <c:crossesAt val="0"/>
        <c:crossBetween val="midCat"/>
        <c:majorUnit val="10"/>
        <c:minorUnit val="2"/>
      </c:valAx>
      <c:valAx>
        <c:axId val="1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 algn="ctr">
                  <a:defRPr sz="11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zh-CN"/>
                  <a:t>Distance to CRP (km)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</a:p>
        </c:txPr>
        <c:crossAx val="0"/>
        <c:crossesAt val="1940"/>
        <c:crossBetween val="between"/>
        <c:majorUnit val="50"/>
        <c:minorUnit val="10"/>
      </c:valAx>
      <c:spPr>
        <a:noFill/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>
      <a:noFill/>
    </a:ln>
  </c:spPr>
  <c:txPr>
    <a:bodyPr/>
    <a:lstStyle/>
    <a:p>
      <a:pPr>
        <a:defRPr sz="215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roundedCorners val="0"/>
  <c:chart>
    <c:title>
      <c:tx>
        <c:rich>
          <a:bodyPr rot="0" vert="horz"/>
          <a:lstStyle/>
          <a:p>
            <a:pPr algn="ctr"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zh-CN"/>
              <a:t>Distance to CRP in Greater Storm Catalog</a:t>
            </a:r>
          </a:p>
        </c:rich>
      </c:tx>
      <c:layout/>
      <c:overlay val="0"/>
      <c:spPr>
        <a:noFill/>
        <a:ln>
          <a:noFill/>
        </a:ln>
      </c:spPr>
    </c:title>
    <c:autoTitleDeleted val="0"/>
    <c:plotArea>
      <c:layout/>
      <c:scatterChart>
        <c:scatterStyle val="marker"/>
        <c:varyColors val="0"/>
        <c:ser>
          <c:idx val="0"/>
          <c:order val="0"/>
          <c:tx>
            <c:v>hahha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dPt>
            <c:idx val="1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spPr>
              <a:ln>
                <a:noFill/>
              </a:ln>
            </c:spPr>
          </c:dPt>
          <c:xVal>
            <c:numRef>
              <c:f>'[1]Lesser Storm'!$A$1:$A$18</c:f>
              <c:numCache>
                <c:ptCount val="18"/>
                <c:pt idx="0">
                  <c:v>1943</c:v>
                </c:pt>
                <c:pt idx="1">
                  <c:v>1947</c:v>
                </c:pt>
                <c:pt idx="2">
                  <c:v>1956</c:v>
                </c:pt>
                <c:pt idx="3">
                  <c:v>1960</c:v>
                </c:pt>
                <c:pt idx="4">
                  <c:v>1971</c:v>
                </c:pt>
                <c:pt idx="5">
                  <c:v>1971</c:v>
                </c:pt>
                <c:pt idx="6">
                  <c:v>1972</c:v>
                </c:pt>
                <c:pt idx="7">
                  <c:v>1985</c:v>
                </c:pt>
                <c:pt idx="8">
                  <c:v>1985</c:v>
                </c:pt>
                <c:pt idx="9">
                  <c:v>1995</c:v>
                </c:pt>
                <c:pt idx="10">
                  <c:v>1940</c:v>
                </c:pt>
                <c:pt idx="11">
                  <c:v>1941</c:v>
                </c:pt>
                <c:pt idx="12">
                  <c:v>1945</c:v>
                </c:pt>
                <c:pt idx="13">
                  <c:v>1950</c:v>
                </c:pt>
                <c:pt idx="14">
                  <c:v>1964</c:v>
                </c:pt>
                <c:pt idx="15">
                  <c:v>1966</c:v>
                </c:pt>
                <c:pt idx="16">
                  <c:v>1968</c:v>
                </c:pt>
                <c:pt idx="17">
                  <c:v>1970</c:v>
                </c:pt>
              </c:numCache>
            </c:numRef>
          </c:xVal>
          <c:yVal>
            <c:numRef>
              <c:f>'[1]Lesser Storm'!$B$1:$B$18</c:f>
              <c:numCache>
                <c:ptCount val="18"/>
                <c:pt idx="0">
                  <c:v>498.207445561689</c:v>
                </c:pt>
                <c:pt idx="1">
                  <c:v>31.8245434256111</c:v>
                </c:pt>
                <c:pt idx="2">
                  <c:v>247.223808418215</c:v>
                </c:pt>
                <c:pt idx="3">
                  <c:v>28.8630131522624</c:v>
                </c:pt>
                <c:pt idx="4">
                  <c:v>236.793757672646</c:v>
                </c:pt>
                <c:pt idx="5">
                  <c:v>48.0561221072853</c:v>
                </c:pt>
                <c:pt idx="6">
                  <c:v>145.975942433553</c:v>
                </c:pt>
                <c:pt idx="7">
                  <c:v>272.792888770135</c:v>
                </c:pt>
                <c:pt idx="8">
                  <c:v>291.106076389681</c:v>
                </c:pt>
                <c:pt idx="9">
                  <c:v>166.007332781807</c:v>
                </c:pt>
                <c:pt idx="10">
                  <c:v>339.691259413285</c:v>
                </c:pt>
                <c:pt idx="11">
                  <c:v>44.8941030972166</c:v>
                </c:pt>
                <c:pt idx="12">
                  <c:v>121.46446339839</c:v>
                </c:pt>
                <c:pt idx="13">
                  <c:v>23.1082614149457</c:v>
                </c:pt>
                <c:pt idx="14">
                  <c:v>906.235771541945</c:v>
                </c:pt>
                <c:pt idx="15">
                  <c:v>194.227072599095</c:v>
                </c:pt>
                <c:pt idx="16">
                  <c:v>648.261357515048</c:v>
                </c:pt>
                <c:pt idx="17">
                  <c:v>912.539931696778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0"/>
        <c:axId val="1"/>
      </c:scatterChart>
      <c:valAx>
        <c:axId val="0"/>
        <c:scaling>
          <c:orientation val="minMax"/>
          <c:max val="2010"/>
          <c:min val="194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zh-CN"/>
                  <a:t>Time(yr)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</a:p>
        </c:txPr>
        <c:crossAx val="1"/>
        <c:crossesAt val="0"/>
        <c:crossBetween val="midCat"/>
        <c:majorUnit val="10"/>
        <c:minorUnit val="2"/>
      </c:valAx>
      <c:valAx>
        <c:axId val="1"/>
        <c:scaling>
          <c:orientation val="minMax"/>
          <c:max val="1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 algn="ctr">
                  <a:defRPr sz="11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zh-CN"/>
                  <a:t>Distance to CRP (km)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</a:p>
        </c:txPr>
        <c:crossAx val="0"/>
        <c:crossesAt val="1940"/>
        <c:crossBetween val="between"/>
        <c:majorUnit val="100"/>
        <c:minorUnit val="20"/>
      </c:valAx>
      <c:spPr>
        <a:noFill/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>
      <a:noFill/>
    </a:ln>
  </c:spPr>
  <c:txPr>
    <a:bodyPr/>
    <a:lstStyle/>
    <a:p>
      <a:pPr>
        <a:defRPr sz="215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</a:p>
  </c:txPr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7" Type="http://schemas.openxmlformats.org/officeDocument/2006/relationships/chart" Target="../charts/chart7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twoCell">
    <xdr:from>
      <xdr:col>1</xdr:col>
      <xdr:colOff>200025</xdr:colOff>
      <xdr:row>26</xdr:row>
      <xdr:rowOff>171450</xdr:rowOff>
    </xdr:from>
    <xdr:to>
      <xdr:col>13</xdr:col>
      <xdr:colOff>9525</xdr:colOff>
      <xdr:row>52</xdr:row>
      <xdr:rowOff>133350</xdr:rowOff>
    </xdr:to>
    <xdr:graphicFrame>
      <xdr:nvGraphicFramePr>
        <xdr:cNvPr id="14336" name="Chart 6"/>
        <xdr:cNvGraphicFramePr/>
      </xdr:nvGraphicFramePr>
      <xdr:xfrm>
        <a:off x="885825" y="4876800"/>
        <a:ext cx="8039100" cy="4667250"/>
      </xdr:xfrm>
      <a:graphic>
        <a:graphicData uri="http://schemas.openxmlformats.org/drawingml/2006/chart">
          <c:chart xmlns:r="http://schemas.openxmlformats.org/officeDocument/2006/relationships" xmlns:c="http://schemas.openxmlformats.org/drawingml/2006/chart" r:id="rId1"/>
        </a:graphicData>
      </a:graphic>
    </xdr:graphicFrame>
    <xdr:clientData/>
  </xdr:twoCellAnchor>
  <xdr:twoCellAnchor editAs="twoCell">
    <xdr:from>
      <xdr:col>1</xdr:col>
      <xdr:colOff>190500</xdr:colOff>
      <xdr:row>55</xdr:row>
      <xdr:rowOff>171450</xdr:rowOff>
    </xdr:from>
    <xdr:to>
      <xdr:col>13</xdr:col>
      <xdr:colOff>0</xdr:colOff>
      <xdr:row>81</xdr:row>
      <xdr:rowOff>133350</xdr:rowOff>
    </xdr:to>
    <xdr:graphicFrame>
      <xdr:nvGraphicFramePr>
        <xdr:cNvPr id="14343" name="Chart 13"/>
        <xdr:cNvGraphicFramePr/>
      </xdr:nvGraphicFramePr>
      <xdr:xfrm>
        <a:off x="876300" y="10125075"/>
        <a:ext cx="8039100" cy="4667250"/>
      </xdr:xfrm>
      <a:graphic>
        <a:graphicData uri="http://schemas.openxmlformats.org/drawingml/2006/chart">
          <c:chart xmlns:r="http://schemas.openxmlformats.org/officeDocument/2006/relationships" xmlns:c="http://schemas.openxmlformats.org/drawingml/2006/chart" r:id="rId2"/>
        </a:graphicData>
      </a:graphic>
    </xdr:graphicFrame>
    <xdr:clientData/>
  </xdr:twoCellAnchor>
  <xdr:twoCellAnchor editAs="twoCell">
    <xdr:from>
      <xdr:col>1</xdr:col>
      <xdr:colOff>200025</xdr:colOff>
      <xdr:row>83</xdr:row>
      <xdr:rowOff>161925</xdr:rowOff>
    </xdr:from>
    <xdr:to>
      <xdr:col>13</xdr:col>
      <xdr:colOff>9525</xdr:colOff>
      <xdr:row>109</xdr:row>
      <xdr:rowOff>123825</xdr:rowOff>
    </xdr:to>
    <xdr:graphicFrame>
      <xdr:nvGraphicFramePr>
        <xdr:cNvPr id="14344" name="Chart 14"/>
        <xdr:cNvGraphicFramePr/>
      </xdr:nvGraphicFramePr>
      <xdr:xfrm>
        <a:off x="885825" y="15182850"/>
        <a:ext cx="8039100" cy="4667250"/>
      </xdr:xfrm>
      <a:graphic>
        <a:graphicData uri="http://schemas.openxmlformats.org/drawingml/2006/chart">
          <c:chart xmlns:r="http://schemas.openxmlformats.org/officeDocument/2006/relationships" xmlns:c="http://schemas.openxmlformats.org/drawingml/2006/chart" r:id="rId3"/>
        </a:graphicData>
      </a:graphic>
    </xdr:graphicFrame>
    <xdr:clientData/>
  </xdr:twoCellAnchor>
  <xdr:twoCellAnchor editAs="twoCell">
    <xdr:from>
      <xdr:col>1</xdr:col>
      <xdr:colOff>247650</xdr:colOff>
      <xdr:row>112</xdr:row>
      <xdr:rowOff>9525</xdr:rowOff>
    </xdr:from>
    <xdr:to>
      <xdr:col>13</xdr:col>
      <xdr:colOff>57150</xdr:colOff>
      <xdr:row>137</xdr:row>
      <xdr:rowOff>152400</xdr:rowOff>
    </xdr:to>
    <xdr:graphicFrame>
      <xdr:nvGraphicFramePr>
        <xdr:cNvPr id="14345" name="Chart 15"/>
        <xdr:cNvGraphicFramePr/>
      </xdr:nvGraphicFramePr>
      <xdr:xfrm>
        <a:off x="933450" y="20278725"/>
        <a:ext cx="8039100" cy="4667250"/>
      </xdr:xfrm>
      <a:graphic>
        <a:graphicData uri="http://schemas.openxmlformats.org/drawingml/2006/chart">
          <c:chart xmlns:r="http://schemas.openxmlformats.org/officeDocument/2006/relationships" xmlns:c="http://schemas.openxmlformats.org/drawingml/2006/chart" r:id="rId4"/>
        </a:graphicData>
      </a:graphic>
    </xdr:graphicFrame>
    <xdr:clientData/>
  </xdr:twoCellAnchor>
  <xdr:twoCellAnchor editAs="twoCell">
    <xdr:from>
      <xdr:col>1</xdr:col>
      <xdr:colOff>228600</xdr:colOff>
      <xdr:row>139</xdr:row>
      <xdr:rowOff>57150</xdr:rowOff>
    </xdr:from>
    <xdr:to>
      <xdr:col>13</xdr:col>
      <xdr:colOff>38100</xdr:colOff>
      <xdr:row>165</xdr:row>
      <xdr:rowOff>19050</xdr:rowOff>
    </xdr:to>
    <xdr:graphicFrame>
      <xdr:nvGraphicFramePr>
        <xdr:cNvPr id="14346" name="Chart 16"/>
        <xdr:cNvGraphicFramePr/>
      </xdr:nvGraphicFramePr>
      <xdr:xfrm>
        <a:off x="914400" y="25212675"/>
        <a:ext cx="8039100" cy="4667250"/>
      </xdr:xfrm>
      <a:graphic>
        <a:graphicData uri="http://schemas.openxmlformats.org/drawingml/2006/chart">
          <c:chart xmlns:r="http://schemas.openxmlformats.org/officeDocument/2006/relationships" xmlns:c="http://schemas.openxmlformats.org/drawingml/2006/chart" r:id="rId5"/>
        </a:graphicData>
      </a:graphic>
    </xdr:graphicFrame>
    <xdr:clientData/>
  </xdr:twoCellAnchor>
  <xdr:twoCellAnchor editAs="twoCell">
    <xdr:from>
      <xdr:col>1</xdr:col>
      <xdr:colOff>180975</xdr:colOff>
      <xdr:row>0</xdr:row>
      <xdr:rowOff>95250</xdr:rowOff>
    </xdr:from>
    <xdr:to>
      <xdr:col>12</xdr:col>
      <xdr:colOff>676275</xdr:colOff>
      <xdr:row>26</xdr:row>
      <xdr:rowOff>57150</xdr:rowOff>
    </xdr:to>
    <xdr:grpSp>
      <xdr:nvGrpSpPr>
        <xdr:cNvPr id="14358" name="组合 10263"/>
        <xdr:cNvGrpSpPr/>
      </xdr:nvGrpSpPr>
      <xdr:grpSpPr>
        <a:xfrm>
          <a:off x="866775" y="95250"/>
          <a:ext cx="8039100" cy="4667250"/>
          <a:chOff x="1380" y="150"/>
          <a:chExt cx="12660" cy="7350"/>
        </a:xfrm>
      </xdr:grpSpPr>
      <xdr:graphicFrame>
        <xdr:nvGraphicFramePr>
          <xdr:cNvPr id="14331" name="Chart 1"/>
          <xdr:cNvGraphicFramePr/>
        </xdr:nvGraphicFramePr>
        <xdr:xfrm>
          <a:off x="1380" y="150"/>
          <a:ext cx="12660" cy="7350"/>
        </xdr:xfrm>
        <a:graphic>
          <a:graphicData uri="http://schemas.openxmlformats.org/drawingml/2006/chart">
            <c:chart xmlns:r="http://schemas.openxmlformats.org/officeDocument/2006/relationships" xmlns:c="http://schemas.openxmlformats.org/drawingml/2006/chart" r:id="rId6"/>
          </a:graphicData>
        </a:graphic>
      </xdr:graphicFrame>
      <xdr:sp>
        <xdr:nvSpPr>
          <xdr:cNvPr id="4105" name="文本框 10"/>
          <xdr:cNvSpPr txBox="1"/>
        </xdr:nvSpPr>
        <xdr:spPr>
          <a:xfrm>
            <a:off x="11685" y="4605"/>
            <a:ext cx="990" cy="330"/>
          </a:xfrm>
          <a:prstGeom prst="rect">
            <a:avLst/>
          </a:prstGeom>
          <a:solidFill>
            <a:srgbClr val="FFFFFF"/>
          </a:solidFill>
          <a:ln>
            <a:noFill/>
          </a:ln>
        </xdr:spPr>
        <xdr:txBody>
          <a:bodyPr rot="0" vert="horz" lIns="0" tIns="0" rIns="0" bIns="0" anchor="t"/>
          <a:p>
            <a:pPr algn="l"/>
            <a:r>
              <a:rPr lang="zh-CN" altLang="en-US" sz="1200">
                <a:solidFill>
                  <a:srgbClr val="FFFFFF"/>
                </a:solidFill>
                <a:latin typeface="宋体"/>
                <a:ea typeface="宋体"/>
              </a:rPr>
              <a:t>Katrina</a:t>
            </a:r>
          </a:p>
        </xdr:txBody>
      </xdr:sp>
      <xdr:sp>
        <xdr:nvSpPr>
          <xdr:cNvPr id="14350" name="文本框 10255"/>
          <xdr:cNvSpPr txBox="1"/>
        </xdr:nvSpPr>
        <xdr:spPr>
          <a:xfrm>
            <a:off x="6825" y="4815"/>
            <a:ext cx="1170" cy="330"/>
          </a:xfrm>
          <a:prstGeom prst="rect">
            <a:avLst/>
          </a:prstGeom>
          <a:solidFill>
            <a:srgbClr val="FFFFFF"/>
          </a:solidFill>
          <a:ln>
            <a:noFill/>
          </a:ln>
        </xdr:spPr>
        <xdr:txBody>
          <a:bodyPr rot="0" vert="horz" lIns="0" tIns="0" rIns="0" bIns="0" anchor="t"/>
          <a:p>
            <a:pPr algn="l"/>
            <a:r>
              <a:rPr lang="zh-CN" altLang="en-US" sz="1200">
                <a:solidFill>
                  <a:srgbClr val="FFFFFF"/>
                </a:solidFill>
                <a:latin typeface="宋体"/>
                <a:ea typeface="宋体"/>
              </a:rPr>
              <a:t>Camille</a:t>
            </a:r>
          </a:p>
        </xdr:txBody>
      </xdr:sp>
    </xdr:grpSp>
    <xdr:clientData/>
  </xdr:twoCellAnchor>
  <xdr:twoCellAnchor editAs="twoCell">
    <xdr:from>
      <xdr:col>1</xdr:col>
      <xdr:colOff>247650</xdr:colOff>
      <xdr:row>166</xdr:row>
      <xdr:rowOff>66675</xdr:rowOff>
    </xdr:from>
    <xdr:to>
      <xdr:col>13</xdr:col>
      <xdr:colOff>57150</xdr:colOff>
      <xdr:row>192</xdr:row>
      <xdr:rowOff>28575</xdr:rowOff>
    </xdr:to>
    <xdr:graphicFrame>
      <xdr:nvGraphicFramePr>
        <xdr:cNvPr id="14359" name="Chart 16"/>
        <xdr:cNvGraphicFramePr/>
      </xdr:nvGraphicFramePr>
      <xdr:xfrm>
        <a:off x="933450" y="30108525"/>
        <a:ext cx="8039100" cy="4667250"/>
      </xdr:xfrm>
      <a:graphic>
        <a:graphicData uri="http://schemas.openxmlformats.org/drawingml/2006/chart">
          <c:chart xmlns:r="http://schemas.openxmlformats.org/officeDocument/2006/relationships" xmlns:c="http://schemas.openxmlformats.org/drawingml/2006/chart" r:id="rId7"/>
        </a:graphicData>
      </a:graphic>
    </xdr:graphicFrame>
    <xdr:clientData/>
  </xdr:twoCellAnchor>
  <xdr:twoCellAnchor editAs="twoCell">
    <xdr:from>
      <xdr:col>1</xdr:col>
      <xdr:colOff>266700</xdr:colOff>
      <xdr:row>193</xdr:row>
      <xdr:rowOff>19050</xdr:rowOff>
    </xdr:from>
    <xdr:to>
      <xdr:col>13</xdr:col>
      <xdr:colOff>76200</xdr:colOff>
      <xdr:row>218</xdr:row>
      <xdr:rowOff>161925</xdr:rowOff>
    </xdr:to>
    <xdr:graphicFrame>
      <xdr:nvGraphicFramePr>
        <xdr:cNvPr id="14360" name="Chart 16"/>
        <xdr:cNvGraphicFramePr/>
      </xdr:nvGraphicFramePr>
      <xdr:xfrm>
        <a:off x="952500" y="34947225"/>
        <a:ext cx="8039100" cy="4667250"/>
      </xdr:xfrm>
      <a:graphic>
        <a:graphicData uri="http://schemas.openxmlformats.org/drawingml/2006/chart">
          <c:chart xmlns:r="http://schemas.openxmlformats.org/officeDocument/2006/relationships" xmlns:c="http://schemas.openxmlformats.org/drawingml/2006/chart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1.%20Research/Summer%20Research/Work%20Report%20Appendix/code/1.%20heading%20angle/sample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Greater Storm"/>
      <sheetName val="Lesser Storm"/>
      <sheetName val="All Storm"/>
    </sheetNames>
    <sheetDataSet>
      <sheetData sheetId="0">
        <row r="1">
          <cell r="A1">
            <v>1957</v>
          </cell>
          <cell r="B1">
            <v>21.580378525509</v>
          </cell>
        </row>
        <row r="2">
          <cell r="A2">
            <v>1964</v>
          </cell>
          <cell r="B2">
            <v>30.8723806174812</v>
          </cell>
        </row>
        <row r="3">
          <cell r="A3">
            <v>1965</v>
          </cell>
          <cell r="B3">
            <v>140.368673941046</v>
          </cell>
        </row>
        <row r="4">
          <cell r="A4">
            <v>1969</v>
          </cell>
          <cell r="B4">
            <v>9.50410962623358e-5</v>
          </cell>
        </row>
        <row r="5">
          <cell r="A5">
            <v>1974</v>
          </cell>
          <cell r="B5">
            <v>197.034154543675</v>
          </cell>
        </row>
        <row r="6">
          <cell r="A6">
            <v>1975</v>
          </cell>
          <cell r="B6">
            <v>84.1899380974168</v>
          </cell>
        </row>
        <row r="7">
          <cell r="A7">
            <v>1979</v>
          </cell>
          <cell r="B7">
            <v>49.1993414043144</v>
          </cell>
        </row>
        <row r="8">
          <cell r="A8">
            <v>1985</v>
          </cell>
          <cell r="B8">
            <v>22.2561308783705</v>
          </cell>
        </row>
        <row r="9">
          <cell r="A9">
            <v>1992</v>
          </cell>
          <cell r="B9">
            <v>189.49645419494</v>
          </cell>
        </row>
        <row r="10">
          <cell r="A10">
            <v>1995</v>
          </cell>
          <cell r="B10">
            <v>66.7029849406138</v>
          </cell>
        </row>
        <row r="11">
          <cell r="A11">
            <v>1998</v>
          </cell>
          <cell r="B11">
            <v>31.0570790172474</v>
          </cell>
        </row>
        <row r="12">
          <cell r="A12">
            <v>2002</v>
          </cell>
          <cell r="B12">
            <v>161.889297665462</v>
          </cell>
        </row>
        <row r="13">
          <cell r="A13">
            <v>2004</v>
          </cell>
          <cell r="B13">
            <v>15.5001971271081</v>
          </cell>
        </row>
        <row r="14">
          <cell r="A14">
            <v>2005</v>
          </cell>
          <cell r="B14">
            <v>54.3264263510897</v>
          </cell>
        </row>
        <row r="15">
          <cell r="A15">
            <v>2005</v>
          </cell>
          <cell r="B15">
            <v>255.146721949039</v>
          </cell>
        </row>
      </sheetData>
      <sheetData sheetId="1">
        <row r="1">
          <cell r="A1">
            <v>1943</v>
          </cell>
          <cell r="B1">
            <v>498.207445561689</v>
          </cell>
        </row>
        <row r="2">
          <cell r="A2">
            <v>1947</v>
          </cell>
          <cell r="B2">
            <v>31.8245434256111</v>
          </cell>
        </row>
        <row r="3">
          <cell r="A3">
            <v>1956</v>
          </cell>
          <cell r="B3">
            <v>247.223808418215</v>
          </cell>
        </row>
        <row r="4">
          <cell r="A4">
            <v>1960</v>
          </cell>
          <cell r="B4">
            <v>28.8630131522624</v>
          </cell>
        </row>
        <row r="5">
          <cell r="A5">
            <v>1971</v>
          </cell>
          <cell r="B5">
            <v>236.793757672646</v>
          </cell>
        </row>
        <row r="6">
          <cell r="A6">
            <v>1971</v>
          </cell>
          <cell r="B6">
            <v>48.0561221072853</v>
          </cell>
        </row>
        <row r="7">
          <cell r="A7">
            <v>1972</v>
          </cell>
          <cell r="B7">
            <v>145.975942433553</v>
          </cell>
        </row>
        <row r="8">
          <cell r="A8">
            <v>1985</v>
          </cell>
          <cell r="B8">
            <v>272.792888770135</v>
          </cell>
        </row>
        <row r="9">
          <cell r="A9">
            <v>1985</v>
          </cell>
          <cell r="B9">
            <v>291.106076389681</v>
          </cell>
        </row>
        <row r="10">
          <cell r="A10">
            <v>1995</v>
          </cell>
          <cell r="B10">
            <v>166.007332781807</v>
          </cell>
        </row>
        <row r="11">
          <cell r="A11">
            <v>1940</v>
          </cell>
          <cell r="B11">
            <v>339.691259413285</v>
          </cell>
        </row>
        <row r="12">
          <cell r="A12">
            <v>1941</v>
          </cell>
          <cell r="B12">
            <v>44.8941030972166</v>
          </cell>
        </row>
        <row r="13">
          <cell r="A13">
            <v>1945</v>
          </cell>
          <cell r="B13">
            <v>121.46446339839</v>
          </cell>
        </row>
        <row r="14">
          <cell r="A14">
            <v>1950</v>
          </cell>
          <cell r="B14">
            <v>23.1082614149457</v>
          </cell>
        </row>
        <row r="15">
          <cell r="A15">
            <v>1964</v>
          </cell>
          <cell r="B15">
            <v>906.235771541945</v>
          </cell>
        </row>
        <row r="16">
          <cell r="A16">
            <v>1966</v>
          </cell>
          <cell r="B16">
            <v>194.227072599095</v>
          </cell>
        </row>
        <row r="17">
          <cell r="A17">
            <v>1968</v>
          </cell>
          <cell r="B17">
            <v>648.261357515048</v>
          </cell>
        </row>
        <row r="18">
          <cell r="A18">
            <v>1970</v>
          </cell>
          <cell r="B18">
            <v>912.539931696778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K57"/>
  <sheetViews>
    <sheetView tabSelected="1" workbookViewId="0">
      <selection activeCell="F12" sqref="F12"/>
    </sheetView>
  </sheetViews>
  <sheetFormatPr defaultColWidth="9" defaultRowHeight="14.25"/>
  <cols>
    <col min="1" max="5" width="9" style="1"/>
    <col min="6" max="6" width="9.375" style="1" customWidth="1"/>
    <col min="7" max="12" width="9" style="1"/>
    <col min="13" max="16" width="11.125" style="1"/>
    <col min="17" max="16384" width="9" style="1"/>
  </cols>
  <sheetData>
    <row r="1" spans="1:37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</row>
    <row r="2" spans="1:37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</row>
    <row r="3" spans="1:37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ht="38.25" spans="1:37">
      <c r="A4" s="3"/>
      <c r="B4" s="3" t="s">
        <v>1</v>
      </c>
      <c r="C4" s="3" t="s">
        <v>2</v>
      </c>
      <c r="D4" s="3" t="s">
        <v>3</v>
      </c>
      <c r="E4" s="3" t="s">
        <v>4</v>
      </c>
      <c r="F4" s="3" t="s">
        <v>5</v>
      </c>
      <c r="G4" s="3" t="s">
        <v>6</v>
      </c>
      <c r="H4" s="3" t="s">
        <v>7</v>
      </c>
      <c r="I4" s="3" t="s">
        <v>8</v>
      </c>
      <c r="J4" s="3" t="s">
        <v>9</v>
      </c>
      <c r="K4" s="3" t="s">
        <v>10</v>
      </c>
      <c r="L4" s="3" t="s">
        <v>11</v>
      </c>
      <c r="M4" s="3" t="s">
        <v>12</v>
      </c>
      <c r="N4" s="3" t="s">
        <v>13</v>
      </c>
      <c r="O4" s="3" t="s">
        <v>14</v>
      </c>
      <c r="P4" s="3" t="s">
        <v>15</v>
      </c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>
      <c r="A5" s="3"/>
      <c r="B5" s="3" t="s">
        <v>16</v>
      </c>
      <c r="C5" s="3">
        <v>1943</v>
      </c>
      <c r="D5" s="3">
        <v>29.5</v>
      </c>
      <c r="E5" s="3">
        <v>-94.5</v>
      </c>
      <c r="F5" s="4">
        <f>distancekm3(G5,D5,E5,30.2,-89.3)</f>
        <v>498.207445561689</v>
      </c>
      <c r="G5" s="5">
        <v>296.2</v>
      </c>
      <c r="H5" s="3">
        <v>969</v>
      </c>
      <c r="I5" s="8">
        <f>1013-H5</f>
        <v>44</v>
      </c>
      <c r="J5" s="3">
        <v>16</v>
      </c>
      <c r="K5" s="5">
        <v>5.7</v>
      </c>
      <c r="L5" s="5">
        <f>0.5144*K5</f>
        <v>2.93208</v>
      </c>
      <c r="M5" s="3">
        <f>LOG(L5,EXP(1))</f>
        <v>1.07571206878178</v>
      </c>
      <c r="N5" s="3"/>
      <c r="O5" s="3">
        <f>LOG(I5,EXP(1))</f>
        <v>3.78418963391826</v>
      </c>
      <c r="P5" s="3">
        <f>LOG(J5,EXP(1))</f>
        <v>2.77258872223978</v>
      </c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>
      <c r="A6" s="3"/>
      <c r="B6" s="3" t="s">
        <v>16</v>
      </c>
      <c r="C6" s="3">
        <v>1947</v>
      </c>
      <c r="D6" s="3">
        <v>29.9</v>
      </c>
      <c r="E6" s="3">
        <v>-89.5</v>
      </c>
      <c r="F6" s="6">
        <f>distancekm3(G6,D6,E6,30.2,-89.3)</f>
        <v>31.8245434256111</v>
      </c>
      <c r="G6" s="5">
        <v>298.4</v>
      </c>
      <c r="H6" s="3">
        <v>966</v>
      </c>
      <c r="I6" s="8">
        <f t="shared" ref="I6:I37" si="0">1013-H6</f>
        <v>47</v>
      </c>
      <c r="J6" s="3">
        <v>23</v>
      </c>
      <c r="K6" s="5">
        <v>16.4</v>
      </c>
      <c r="L6" s="5">
        <f t="shared" ref="L6:L37" si="1">0.5144*K6</f>
        <v>8.43616</v>
      </c>
      <c r="M6" s="3">
        <f t="shared" ref="M6:M15" si="2">LOG(L6,EXP(1))</f>
        <v>2.13252722877142</v>
      </c>
      <c r="N6" s="3"/>
      <c r="O6" s="3">
        <f t="shared" ref="O6:O26" si="3">LOG(I6,EXP(1))</f>
        <v>3.85014760171006</v>
      </c>
      <c r="P6" s="3">
        <f t="shared" ref="P6:P26" si="4">LOG(J6,EXP(1))</f>
        <v>3.13549421592915</v>
      </c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>
      <c r="A7" s="3"/>
      <c r="B7" s="3" t="s">
        <v>17</v>
      </c>
      <c r="C7" s="3">
        <v>1956</v>
      </c>
      <c r="D7" s="3">
        <v>30.4</v>
      </c>
      <c r="E7" s="3">
        <v>-86.5</v>
      </c>
      <c r="F7" s="6">
        <f>distancekm3(G7,D7,E7,30.2,-89.3)</f>
        <v>247.223808418215</v>
      </c>
      <c r="G7" s="7">
        <v>66.8</v>
      </c>
      <c r="H7" s="3">
        <v>974</v>
      </c>
      <c r="I7" s="8">
        <f>1013-H7</f>
        <v>39</v>
      </c>
      <c r="J7" s="3">
        <v>30</v>
      </c>
      <c r="K7" s="5">
        <v>9</v>
      </c>
      <c r="L7" s="5">
        <f>0.5144*K7</f>
        <v>4.6296</v>
      </c>
      <c r="M7" s="3">
        <f>LOG(L7,EXP(1))</f>
        <v>1.53247047127749</v>
      </c>
      <c r="N7" s="3"/>
      <c r="O7" s="3">
        <f>LOG(I7,EXP(1))</f>
        <v>3.66356164612965</v>
      </c>
      <c r="P7" s="3">
        <f>LOG(J7,EXP(1))</f>
        <v>3.40119738166216</v>
      </c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>
      <c r="A8" s="3"/>
      <c r="B8" s="3" t="s">
        <v>18</v>
      </c>
      <c r="C8" s="3">
        <v>1957</v>
      </c>
      <c r="D8" s="3">
        <v>29.7</v>
      </c>
      <c r="E8" s="3">
        <v>-93.7</v>
      </c>
      <c r="F8" s="6">
        <f>distancekm3(G8,D8,E8,30.2,-89.3)</f>
        <v>21.580378525509</v>
      </c>
      <c r="G8" s="7">
        <v>9</v>
      </c>
      <c r="H8" s="3">
        <v>945</v>
      </c>
      <c r="I8" s="3">
        <f>1013-H8</f>
        <v>68</v>
      </c>
      <c r="J8" s="3">
        <v>25</v>
      </c>
      <c r="K8" s="5">
        <v>14.1</v>
      </c>
      <c r="L8" s="5">
        <f>0.5144*K8</f>
        <v>7.25304</v>
      </c>
      <c r="M8" s="3">
        <f>LOG(L8,EXP(1))</f>
        <v>1.9814206913254</v>
      </c>
      <c r="N8" s="3"/>
      <c r="O8" s="3">
        <f>LOG(I8,EXP(1))</f>
        <v>4.21950770517611</v>
      </c>
      <c r="P8" s="3">
        <f>LOG(J8,EXP(1))</f>
        <v>3.2188758248682</v>
      </c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>
      <c r="A9" s="3"/>
      <c r="B9" s="3" t="s">
        <v>19</v>
      </c>
      <c r="C9" s="3">
        <v>1960</v>
      </c>
      <c r="D9" s="3">
        <v>30.4</v>
      </c>
      <c r="E9" s="3">
        <v>-89</v>
      </c>
      <c r="F9" s="6">
        <f>distancekm3(G9,D9,E9,30.2,-89.3)</f>
        <v>28.8630131522624</v>
      </c>
      <c r="G9" s="7">
        <v>0</v>
      </c>
      <c r="H9" s="3">
        <v>976</v>
      </c>
      <c r="I9" s="8">
        <f>1013-H9</f>
        <v>37</v>
      </c>
      <c r="J9" s="3">
        <v>18</v>
      </c>
      <c r="K9" s="5">
        <v>7.4</v>
      </c>
      <c r="L9" s="5">
        <f>0.5144*K9</f>
        <v>3.80656</v>
      </c>
      <c r="M9" s="3">
        <f>LOG(L9,EXP(1))</f>
        <v>1.3367258941514</v>
      </c>
      <c r="N9" s="3"/>
      <c r="O9" s="3">
        <f>LOG(I9,EXP(1))</f>
        <v>3.61091791264422</v>
      </c>
      <c r="P9" s="3">
        <f>LOG(J9,EXP(1))</f>
        <v>2.89037175789616</v>
      </c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>
      <c r="A10" s="3"/>
      <c r="B10" s="3" t="s">
        <v>20</v>
      </c>
      <c r="C10" s="3">
        <v>1964</v>
      </c>
      <c r="D10" s="3">
        <v>29.4</v>
      </c>
      <c r="E10" s="3">
        <v>-91.6</v>
      </c>
      <c r="F10" s="6">
        <f>distancekm3(G10,D10,E10,30.2,-89.3)</f>
        <v>30.8723806174812</v>
      </c>
      <c r="G10" s="7">
        <v>12.6</v>
      </c>
      <c r="H10" s="3">
        <v>959</v>
      </c>
      <c r="I10" s="3">
        <f>1013-H10</f>
        <v>54</v>
      </c>
      <c r="J10" s="3">
        <v>21</v>
      </c>
      <c r="K10" s="5">
        <v>6.2</v>
      </c>
      <c r="L10" s="5">
        <f>0.5144*K10</f>
        <v>3.18928</v>
      </c>
      <c r="M10" s="3">
        <f>LOG(L10,EXP(1))</f>
        <v>1.15979518599232</v>
      </c>
      <c r="N10" s="3"/>
      <c r="O10" s="3">
        <f>LOG(I10,EXP(1))</f>
        <v>3.98898404656427</v>
      </c>
      <c r="P10" s="3">
        <f>LOG(J10,EXP(1))</f>
        <v>3.04452243772342</v>
      </c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>
      <c r="A11" s="3"/>
      <c r="B11" s="3" t="s">
        <v>21</v>
      </c>
      <c r="C11" s="3">
        <v>1965</v>
      </c>
      <c r="D11" s="3">
        <v>29.3</v>
      </c>
      <c r="E11" s="3">
        <v>-90.3</v>
      </c>
      <c r="F11" s="6">
        <f>distancekm3(G11,D11,E11,30.2,-89.3)</f>
        <v>140.368673941046</v>
      </c>
      <c r="G11" s="5">
        <v>316.7</v>
      </c>
      <c r="H11" s="3">
        <v>941</v>
      </c>
      <c r="I11" s="3">
        <f>1013-H11</f>
        <v>72</v>
      </c>
      <c r="J11" s="3">
        <v>40</v>
      </c>
      <c r="K11" s="5">
        <v>16.5</v>
      </c>
      <c r="L11" s="5">
        <f>0.5144*K11</f>
        <v>8.4876</v>
      </c>
      <c r="M11" s="3">
        <f>LOG(L11,EXP(1))</f>
        <v>2.13860627484781</v>
      </c>
      <c r="O11" s="3">
        <f>LOG(I11,EXP(1))</f>
        <v>4.27666611901606</v>
      </c>
      <c r="P11" s="3">
        <f>LOG(J11,EXP(1))</f>
        <v>3.68887945411394</v>
      </c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>
      <c r="A12" s="3"/>
      <c r="B12" s="3" t="s">
        <v>22</v>
      </c>
      <c r="C12" s="3">
        <v>1969</v>
      </c>
      <c r="D12" s="3">
        <v>30.2</v>
      </c>
      <c r="E12" s="3">
        <v>-89.3</v>
      </c>
      <c r="F12" s="6">
        <f>distancekm3(G12,D12,E12,30.2,-89.3)</f>
        <v>9.50410962623358e-5</v>
      </c>
      <c r="G12" s="5">
        <v>341.9</v>
      </c>
      <c r="H12" s="3">
        <v>909</v>
      </c>
      <c r="I12" s="3">
        <f>1013-H12</f>
        <v>104</v>
      </c>
      <c r="J12" s="3">
        <v>12</v>
      </c>
      <c r="K12" s="5">
        <v>13.3</v>
      </c>
      <c r="L12" s="5">
        <f>0.5144*K12</f>
        <v>6.84152</v>
      </c>
      <c r="M12" s="3">
        <f>LOG(L12,EXP(1))</f>
        <v>1.92300992916898</v>
      </c>
      <c r="O12" s="3">
        <f>LOG(I12,EXP(1))</f>
        <v>4.64439089914137</v>
      </c>
      <c r="P12" s="3">
        <f>LOG(J12,EXP(1))</f>
        <v>2.484906649788</v>
      </c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>
      <c r="A13" s="3"/>
      <c r="B13" s="3" t="s">
        <v>23</v>
      </c>
      <c r="C13" s="3">
        <v>1971</v>
      </c>
      <c r="D13" s="3">
        <v>29.7</v>
      </c>
      <c r="E13" s="3">
        <v>-92.9</v>
      </c>
      <c r="F13" s="6">
        <f>distancekm3(G13,D13,E13,30.2,-89.3)</f>
        <v>236.793757672646</v>
      </c>
      <c r="G13" s="7">
        <v>47.1</v>
      </c>
      <c r="H13" s="3">
        <v>978</v>
      </c>
      <c r="I13" s="8">
        <f>1013-H13</f>
        <v>35</v>
      </c>
      <c r="J13" s="3">
        <v>27</v>
      </c>
      <c r="K13" s="5">
        <v>16.3</v>
      </c>
      <c r="L13" s="5">
        <f>0.5144*K13</f>
        <v>8.38472</v>
      </c>
      <c r="M13" s="3">
        <f>LOG(L13,EXP(1))</f>
        <v>2.12641100175399</v>
      </c>
      <c r="O13" s="3">
        <f>LOG(I13,EXP(1))</f>
        <v>3.55534806148941</v>
      </c>
      <c r="P13" s="3">
        <f>LOG(J13,EXP(1))</f>
        <v>3.29583686600433</v>
      </c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>
      <c r="A14" s="3"/>
      <c r="B14" s="3" t="s">
        <v>24</v>
      </c>
      <c r="C14" s="3">
        <v>1971</v>
      </c>
      <c r="D14" s="3">
        <v>29.8</v>
      </c>
      <c r="E14" s="3">
        <v>-89.5</v>
      </c>
      <c r="F14" s="6">
        <f>distancekm3(G14,D14,E14,30.2,-89.3)</f>
        <v>48.0561221072853</v>
      </c>
      <c r="G14" s="5">
        <v>347.2</v>
      </c>
      <c r="H14" s="3">
        <v>979</v>
      </c>
      <c r="I14" s="8">
        <f>1013-H14</f>
        <v>34</v>
      </c>
      <c r="J14" s="3">
        <v>37</v>
      </c>
      <c r="K14" s="5">
        <v>5.9</v>
      </c>
      <c r="L14" s="5">
        <f>0.5144*K14</f>
        <v>3.03496</v>
      </c>
      <c r="M14" s="3">
        <f>LOG(L14,EXP(1))</f>
        <v>1.11019824485295</v>
      </c>
      <c r="O14" s="3">
        <f>LOG(I14,EXP(1))</f>
        <v>3.52636052461616</v>
      </c>
      <c r="P14" s="3">
        <f>LOG(J14,EXP(1))</f>
        <v>3.61091791264422</v>
      </c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>
      <c r="A15" s="3"/>
      <c r="B15" s="3" t="s">
        <v>25</v>
      </c>
      <c r="C15" s="3">
        <v>1972</v>
      </c>
      <c r="D15" s="3">
        <v>29.9</v>
      </c>
      <c r="E15" s="3">
        <v>-85.5</v>
      </c>
      <c r="F15" s="6">
        <f>distancekm3(G15,D15,E15,30.2,-89.3)</f>
        <v>145.975942433553</v>
      </c>
      <c r="G15" s="7">
        <v>15.8</v>
      </c>
      <c r="H15" s="3">
        <v>980</v>
      </c>
      <c r="I15" s="8">
        <f>1013-H15</f>
        <v>33</v>
      </c>
      <c r="J15" s="3">
        <v>20</v>
      </c>
      <c r="K15" s="5">
        <v>10.1</v>
      </c>
      <c r="L15" s="5">
        <f>0.5144*K15</f>
        <v>5.19544</v>
      </c>
      <c r="M15" s="3">
        <f>LOG(L15,EXP(1))</f>
        <v>1.64778131778849</v>
      </c>
      <c r="O15" s="3">
        <f>LOG(I15,EXP(1))</f>
        <v>3.49650756146648</v>
      </c>
      <c r="P15" s="3">
        <f>LOG(J15,EXP(1))</f>
        <v>2.99573227355399</v>
      </c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>
      <c r="A16" s="3"/>
      <c r="B16" s="3" t="s">
        <v>26</v>
      </c>
      <c r="C16" s="3">
        <v>1974</v>
      </c>
      <c r="D16" s="3">
        <v>29.3</v>
      </c>
      <c r="E16" s="3">
        <v>-91.2</v>
      </c>
      <c r="F16" s="6">
        <f>distancekm3(G16,D16,E16,30.2,-89.3)</f>
        <v>197.034154543675</v>
      </c>
      <c r="G16" s="5">
        <v>323.7</v>
      </c>
      <c r="H16" s="3">
        <v>952</v>
      </c>
      <c r="I16" s="3">
        <f>1013-H16</f>
        <v>61</v>
      </c>
      <c r="J16" s="3">
        <v>15</v>
      </c>
      <c r="K16" s="5">
        <v>9.3</v>
      </c>
      <c r="L16" s="5">
        <f>0.5144*K16</f>
        <v>4.78392</v>
      </c>
      <c r="M16" s="3">
        <f t="shared" ref="M16:M25" si="5">LOG(L16,EXP(1))</f>
        <v>1.56526029410048</v>
      </c>
      <c r="O16" s="3">
        <f>LOG(I16,EXP(1))</f>
        <v>4.11087386417331</v>
      </c>
      <c r="P16" s="3">
        <f>LOG(J16,EXP(1))</f>
        <v>2.70805020110221</v>
      </c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>
      <c r="A17" s="3"/>
      <c r="B17" s="3" t="s">
        <v>27</v>
      </c>
      <c r="C17" s="3">
        <v>1975</v>
      </c>
      <c r="D17" s="3">
        <v>30.3</v>
      </c>
      <c r="E17" s="3">
        <v>-86.2</v>
      </c>
      <c r="F17" s="6">
        <f>distancekm3(G17,D17,E17,30.2,-89.3)</f>
        <v>84.1899380974168</v>
      </c>
      <c r="G17" s="7">
        <v>16.1</v>
      </c>
      <c r="H17" s="3">
        <v>955</v>
      </c>
      <c r="I17" s="3">
        <f>1013-H17</f>
        <v>58</v>
      </c>
      <c r="J17" s="3">
        <v>28</v>
      </c>
      <c r="K17" s="5">
        <v>23.4</v>
      </c>
      <c r="L17" s="5">
        <f>0.5144*K17</f>
        <v>12.03696</v>
      </c>
      <c r="M17" s="3">
        <f>LOG(L17,EXP(1))</f>
        <v>2.48798191630493</v>
      </c>
      <c r="O17" s="3">
        <f>LOG(I17,EXP(1))</f>
        <v>4.06044301054642</v>
      </c>
      <c r="P17" s="3">
        <f>LOG(J17,EXP(1))</f>
        <v>3.3322045101752</v>
      </c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>
      <c r="A18" s="3"/>
      <c r="B18" s="3" t="s">
        <v>28</v>
      </c>
      <c r="C18" s="3">
        <v>1979</v>
      </c>
      <c r="D18" s="3">
        <v>30.4</v>
      </c>
      <c r="E18" s="3">
        <v>-88.3</v>
      </c>
      <c r="F18" s="6">
        <f>distancekm3(G18,D18,E18,30.2,-89.3)</f>
        <v>49.1993414043144</v>
      </c>
      <c r="G18" s="5">
        <v>345.4</v>
      </c>
      <c r="H18" s="3">
        <v>946</v>
      </c>
      <c r="I18" s="3">
        <f>1013-H18</f>
        <v>67</v>
      </c>
      <c r="J18" s="3">
        <v>25</v>
      </c>
      <c r="K18" s="5">
        <v>12.7</v>
      </c>
      <c r="L18" s="5">
        <f>0.5144*K18</f>
        <v>6.53288</v>
      </c>
      <c r="M18" s="3">
        <f>LOG(L18,EXP(1))</f>
        <v>1.87684788740582</v>
      </c>
      <c r="O18" s="3">
        <f>LOG(I18,EXP(1))</f>
        <v>4.20469261939097</v>
      </c>
      <c r="P18" s="3">
        <f>LOG(J18,EXP(1))</f>
        <v>3.2188758248682</v>
      </c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>
      <c r="A19" s="3"/>
      <c r="B19" s="3" t="s">
        <v>29</v>
      </c>
      <c r="C19" s="3">
        <v>1985</v>
      </c>
      <c r="D19" s="3">
        <v>30.3</v>
      </c>
      <c r="E19" s="3">
        <v>-89.1</v>
      </c>
      <c r="F19" s="6">
        <f>distancekm3(G19,D19,E19,30.2,-89.3)</f>
        <v>22.2561308783705</v>
      </c>
      <c r="G19" s="5">
        <v>297.3</v>
      </c>
      <c r="H19" s="3">
        <v>959</v>
      </c>
      <c r="I19" s="3">
        <f>1013-H19</f>
        <v>54</v>
      </c>
      <c r="J19" s="3">
        <v>13</v>
      </c>
      <c r="K19" s="5">
        <v>15</v>
      </c>
      <c r="L19" s="5">
        <f>0.5144*K19</f>
        <v>7.716</v>
      </c>
      <c r="M19" s="3">
        <f>LOG(L19,EXP(1))</f>
        <v>2.04329609504348</v>
      </c>
      <c r="O19" s="3">
        <f>LOG(I19,EXP(1))</f>
        <v>3.98898404656427</v>
      </c>
      <c r="P19" s="3">
        <f>LOG(J19,EXP(1))</f>
        <v>2.56494935746154</v>
      </c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>
      <c r="A20" s="3"/>
      <c r="B20" s="3" t="s">
        <v>30</v>
      </c>
      <c r="C20" s="3">
        <v>1985</v>
      </c>
      <c r="D20" s="3">
        <v>29.5</v>
      </c>
      <c r="E20" s="3">
        <v>-92</v>
      </c>
      <c r="F20" s="6">
        <f>distancekm3(G20,D20,E20,30.2,-89.3)</f>
        <v>272.792888770135</v>
      </c>
      <c r="G20" s="5">
        <v>295.6</v>
      </c>
      <c r="H20" s="3">
        <v>971</v>
      </c>
      <c r="I20" s="8">
        <f>1013-H20</f>
        <v>42</v>
      </c>
      <c r="J20" s="3">
        <v>16</v>
      </c>
      <c r="K20" s="5">
        <v>8.6</v>
      </c>
      <c r="L20" s="5">
        <f>0.5144*K20</f>
        <v>4.42384</v>
      </c>
      <c r="M20" s="3">
        <f>LOG(L20,EXP(1))</f>
        <v>1.48700809720073</v>
      </c>
      <c r="O20" s="3">
        <f>LOG(I20,EXP(1))</f>
        <v>3.73766961828337</v>
      </c>
      <c r="P20" s="3">
        <f>LOG(J20,EXP(1))</f>
        <v>2.77258872223978</v>
      </c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>
      <c r="A21" s="3"/>
      <c r="B21" s="3" t="s">
        <v>31</v>
      </c>
      <c r="C21" s="3">
        <v>1985</v>
      </c>
      <c r="D21" s="3">
        <v>29.9</v>
      </c>
      <c r="E21" s="3">
        <v>-85.4</v>
      </c>
      <c r="F21" s="6">
        <f>distancekm3(G21,D21,E21,30.2,-89.3)</f>
        <v>291.106076389681</v>
      </c>
      <c r="G21" s="7">
        <v>40.4</v>
      </c>
      <c r="H21" s="3">
        <v>967</v>
      </c>
      <c r="I21" s="8">
        <f>1013-H21</f>
        <v>46</v>
      </c>
      <c r="J21" s="3">
        <v>28</v>
      </c>
      <c r="K21" s="5">
        <v>14.4</v>
      </c>
      <c r="L21" s="5">
        <f>0.5144*K21</f>
        <v>7.40736</v>
      </c>
      <c r="M21" s="3">
        <f>LOG(L21,EXP(1))</f>
        <v>2.00247410052323</v>
      </c>
      <c r="O21" s="3">
        <f>LOG(I21,EXP(1))</f>
        <v>3.82864139648909</v>
      </c>
      <c r="P21" s="3">
        <f>LOG(J21,EXP(1))</f>
        <v>3.3322045101752</v>
      </c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>
      <c r="A22" s="3"/>
      <c r="B22" s="3" t="s">
        <v>32</v>
      </c>
      <c r="C22" s="3">
        <v>1992</v>
      </c>
      <c r="D22" s="3">
        <v>29.3</v>
      </c>
      <c r="E22" s="3">
        <v>-91.4</v>
      </c>
      <c r="F22" s="6">
        <f>distancekm3(G22,D22,E22,30.2,-89.3)</f>
        <v>189.49645419494</v>
      </c>
      <c r="G22" s="5">
        <v>333.4</v>
      </c>
      <c r="H22" s="3">
        <v>956</v>
      </c>
      <c r="I22" s="3">
        <f>1013-H22</f>
        <v>57</v>
      </c>
      <c r="J22" s="3">
        <v>16</v>
      </c>
      <c r="K22" s="5">
        <v>10.9</v>
      </c>
      <c r="L22" s="5">
        <f>0.5144*K22</f>
        <v>5.60696</v>
      </c>
      <c r="M22" s="3">
        <f>LOG(L22,EXP(1))</f>
        <v>1.72400868317637</v>
      </c>
      <c r="O22" s="3">
        <f>LOG(I22,EXP(1))</f>
        <v>4.04305126783455</v>
      </c>
      <c r="P22" s="3">
        <f>LOG(J22,EXP(1))</f>
        <v>2.77258872223978</v>
      </c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>
      <c r="A23" s="3"/>
      <c r="B23" s="3" t="s">
        <v>33</v>
      </c>
      <c r="C23" s="3">
        <v>1995</v>
      </c>
      <c r="D23" s="3">
        <v>30.3</v>
      </c>
      <c r="E23" s="3">
        <v>-87.2</v>
      </c>
      <c r="F23" s="6">
        <f>distancekm3(G23,D23,E23,30.2,-89.3)</f>
        <v>166.007332781807</v>
      </c>
      <c r="G23" s="5">
        <v>312.8</v>
      </c>
      <c r="H23" s="3">
        <v>973</v>
      </c>
      <c r="I23" s="8">
        <f>1013-H23</f>
        <v>40</v>
      </c>
      <c r="J23" s="3">
        <v>33</v>
      </c>
      <c r="K23" s="5">
        <v>11</v>
      </c>
      <c r="L23" s="5">
        <f>0.5144*K23</f>
        <v>5.6584</v>
      </c>
      <c r="M23" s="3">
        <f>LOG(L23,EXP(1))</f>
        <v>1.73314116673964</v>
      </c>
      <c r="O23" s="3">
        <f>LOG(I23,EXP(1))</f>
        <v>3.68887945411394</v>
      </c>
      <c r="P23" s="3">
        <f>LOG(J23,EXP(1))</f>
        <v>3.49650756146648</v>
      </c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>
      <c r="A24" s="3"/>
      <c r="B24" s="3" t="s">
        <v>34</v>
      </c>
      <c r="C24" s="3">
        <v>1995</v>
      </c>
      <c r="D24" s="3">
        <v>30.3</v>
      </c>
      <c r="E24" s="3">
        <v>-87.1</v>
      </c>
      <c r="F24" s="6">
        <f>distancekm3(G24,D24,E24,30.2,-89.3)</f>
        <v>66.7029849406138</v>
      </c>
      <c r="G24" s="7">
        <v>18.6</v>
      </c>
      <c r="H24" s="3">
        <v>942</v>
      </c>
      <c r="I24" s="3">
        <f>1013-H24</f>
        <v>71</v>
      </c>
      <c r="J24" s="3">
        <v>39</v>
      </c>
      <c r="K24" s="5">
        <v>21.3</v>
      </c>
      <c r="L24" s="5">
        <f>0.5144*K24</f>
        <v>10.95672</v>
      </c>
      <c r="M24" s="3">
        <f>LOG(L24,EXP(1))</f>
        <v>2.39395296665665</v>
      </c>
      <c r="O24" s="3">
        <f>LOG(I24,EXP(1))</f>
        <v>4.26267987704132</v>
      </c>
      <c r="P24" s="3">
        <f>LOG(J24,EXP(1))</f>
        <v>3.66356164612965</v>
      </c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>
      <c r="A25" s="3"/>
      <c r="B25" s="3" t="s">
        <v>35</v>
      </c>
      <c r="C25" s="3">
        <v>1998</v>
      </c>
      <c r="D25" s="3">
        <v>30.4</v>
      </c>
      <c r="E25" s="3">
        <v>-88.9</v>
      </c>
      <c r="F25" s="6">
        <f>distancekm3(G25,D25,E25,30.2,-89.3)</f>
        <v>31.0570790172474</v>
      </c>
      <c r="G25" s="5">
        <v>347.7</v>
      </c>
      <c r="H25" s="3">
        <v>964</v>
      </c>
      <c r="I25" s="3">
        <f>1013-H25</f>
        <v>49</v>
      </c>
      <c r="J25" s="3">
        <v>50</v>
      </c>
      <c r="K25" s="5">
        <v>4.1</v>
      </c>
      <c r="L25" s="5">
        <f>0.5144*K25</f>
        <v>2.10904</v>
      </c>
      <c r="M25" s="3">
        <f>LOG(L25,EXP(1))</f>
        <v>0.746232867651535</v>
      </c>
      <c r="O25" s="3">
        <f>LOG(I25,EXP(1))</f>
        <v>3.89182029811063</v>
      </c>
      <c r="P25" s="3">
        <f>LOG(J25,EXP(1))</f>
        <v>3.91202300542815</v>
      </c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>
      <c r="A26" s="3"/>
      <c r="B26" s="3" t="s">
        <v>36</v>
      </c>
      <c r="C26" s="3">
        <v>2002</v>
      </c>
      <c r="D26" s="3">
        <v>29.5</v>
      </c>
      <c r="E26" s="3">
        <v>-92.2</v>
      </c>
      <c r="F26" s="6">
        <f>distancekm3(G26,D26,E26,30.2,-89.3)</f>
        <v>161.889297665462</v>
      </c>
      <c r="G26" s="5">
        <v>344.1</v>
      </c>
      <c r="H26" s="3">
        <v>963</v>
      </c>
      <c r="I26" s="3">
        <f>1013-H26</f>
        <v>50</v>
      </c>
      <c r="J26" s="3">
        <v>15</v>
      </c>
      <c r="K26" s="5">
        <v>12.9</v>
      </c>
      <c r="L26" s="5">
        <f>0.5144*K26</f>
        <v>6.63576</v>
      </c>
      <c r="M26" s="3">
        <f t="shared" ref="M26:M37" si="6">LOG(L26,EXP(1))</f>
        <v>1.8924732053089</v>
      </c>
      <c r="O26" s="3">
        <f>LOG(I26,EXP(1))</f>
        <v>3.91202300542815</v>
      </c>
      <c r="P26" s="3">
        <f>LOG(J26,EXP(1))</f>
        <v>2.70805020110221</v>
      </c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>
      <c r="A27" s="3"/>
      <c r="B27" s="3" t="s">
        <v>37</v>
      </c>
      <c r="C27" s="3">
        <v>2004</v>
      </c>
      <c r="D27" s="3">
        <v>30.3</v>
      </c>
      <c r="E27" s="3">
        <v>-87.9</v>
      </c>
      <c r="F27" s="6">
        <f>distancekm3(G27,D27,E27,30.2,-89.3)</f>
        <v>15.5001971271081</v>
      </c>
      <c r="G27" s="7">
        <v>9.8</v>
      </c>
      <c r="H27" s="3">
        <v>946</v>
      </c>
      <c r="I27" s="3">
        <f>1013-H27</f>
        <v>67</v>
      </c>
      <c r="J27" s="3">
        <v>27</v>
      </c>
      <c r="K27" s="5">
        <v>12.7</v>
      </c>
      <c r="L27" s="5">
        <f>0.5144*K27</f>
        <v>6.53288</v>
      </c>
      <c r="M27" s="3">
        <f>LOG(L27,EXP(1))</f>
        <v>1.87684788740582</v>
      </c>
      <c r="O27" s="3">
        <f t="shared" ref="O27:O37" si="7">LOG(I27,EXP(1))</f>
        <v>4.20469261939097</v>
      </c>
      <c r="P27" s="3">
        <f t="shared" ref="P27:P37" si="8">LOG(J27,EXP(1))</f>
        <v>3.29583686600433</v>
      </c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>
      <c r="A28" s="3"/>
      <c r="B28" s="3" t="s">
        <v>38</v>
      </c>
      <c r="C28" s="3">
        <v>2005</v>
      </c>
      <c r="D28" s="3">
        <v>29.7</v>
      </c>
      <c r="E28" s="3">
        <v>-89.6</v>
      </c>
      <c r="F28" s="6">
        <f>distancekm3(G28,D28,E28,30.2,-89.3)</f>
        <v>54.3264263510897</v>
      </c>
      <c r="G28" s="7">
        <v>2.2</v>
      </c>
      <c r="H28" s="3">
        <v>920</v>
      </c>
      <c r="I28" s="3">
        <f>1013-H28</f>
        <v>93</v>
      </c>
      <c r="J28" s="3">
        <v>29</v>
      </c>
      <c r="K28" s="5">
        <v>14.6</v>
      </c>
      <c r="L28" s="5">
        <f>0.5144*K28</f>
        <v>7.51024</v>
      </c>
      <c r="M28" s="3">
        <f>LOG(L28,EXP(1))</f>
        <v>2.01626742265556</v>
      </c>
      <c r="O28" s="3">
        <f>LOG(I28,EXP(1))</f>
        <v>4.53259949315326</v>
      </c>
      <c r="P28" s="3">
        <f>LOG(J28,EXP(1))</f>
        <v>3.36729582998647</v>
      </c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>
      <c r="A29" s="3"/>
      <c r="B29" s="3" t="s">
        <v>39</v>
      </c>
      <c r="C29" s="3">
        <v>2005</v>
      </c>
      <c r="D29" s="3">
        <v>29.7</v>
      </c>
      <c r="E29" s="3">
        <v>-93.8</v>
      </c>
      <c r="F29" s="6">
        <f>distancekm3(G29,D29,E29,30.2,-89.3)</f>
        <v>255.146721949039</v>
      </c>
      <c r="G29" s="5">
        <v>335.2</v>
      </c>
      <c r="H29" s="3">
        <v>937</v>
      </c>
      <c r="I29" s="3">
        <f>1013-H29</f>
        <v>76</v>
      </c>
      <c r="J29" s="3">
        <v>21</v>
      </c>
      <c r="K29" s="5">
        <v>11.3</v>
      </c>
      <c r="L29" s="5">
        <f>0.5144*K29</f>
        <v>5.81272</v>
      </c>
      <c r="M29" s="3">
        <f>LOG(L29,EXP(1))</f>
        <v>1.76004861965957</v>
      </c>
      <c r="O29" s="3">
        <f>LOG(I29,EXP(1))</f>
        <v>4.33073334028633</v>
      </c>
      <c r="P29" s="3">
        <f>LOG(J29,EXP(1))</f>
        <v>3.04452243772342</v>
      </c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>
      <c r="A30" s="3"/>
      <c r="B30" s="3" t="s">
        <v>40</v>
      </c>
      <c r="C30" s="3">
        <v>1940</v>
      </c>
      <c r="D30" s="3">
        <v>29.7</v>
      </c>
      <c r="E30" s="3">
        <v>-93.7</v>
      </c>
      <c r="F30" s="4">
        <f>distancekm3(G30,D30,E30,30.2,-89.3)</f>
        <v>339.691259413285</v>
      </c>
      <c r="G30" s="5">
        <v>320</v>
      </c>
      <c r="H30" s="3">
        <v>972</v>
      </c>
      <c r="I30" s="8">
        <f>1013-H30</f>
        <v>41</v>
      </c>
      <c r="J30" s="3">
        <v>11</v>
      </c>
      <c r="K30" s="5">
        <v>8</v>
      </c>
      <c r="L30" s="5">
        <f>0.5144*K30</f>
        <v>4.1152</v>
      </c>
      <c r="M30" s="3">
        <f>LOG(L30,EXP(1))</f>
        <v>1.41468743562111</v>
      </c>
      <c r="O30" s="3">
        <f>LOG(I30,EXP(1))</f>
        <v>3.71357206670431</v>
      </c>
      <c r="P30" s="3">
        <f>LOG(J30,EXP(1))</f>
        <v>2.39789527279837</v>
      </c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>
      <c r="A31" s="3"/>
      <c r="B31" s="3" t="s">
        <v>40</v>
      </c>
      <c r="C31" s="3">
        <v>1941</v>
      </c>
      <c r="D31" s="3">
        <v>29.8</v>
      </c>
      <c r="E31" s="3">
        <v>-84.7</v>
      </c>
      <c r="F31" s="6">
        <f>distancekm3(G31,D31,E31,30.2,-89.3)</f>
        <v>44.8941030972166</v>
      </c>
      <c r="G31" s="5">
        <v>350</v>
      </c>
      <c r="H31" s="3">
        <v>981</v>
      </c>
      <c r="I31" s="8">
        <f>1013-H31</f>
        <v>32</v>
      </c>
      <c r="J31" s="3">
        <v>18</v>
      </c>
      <c r="K31" s="5">
        <v>11</v>
      </c>
      <c r="L31" s="5">
        <f>0.5144*K31</f>
        <v>5.6584</v>
      </c>
      <c r="M31" s="3">
        <f>LOG(L31,EXP(1))</f>
        <v>1.73314116673964</v>
      </c>
      <c r="O31" s="3">
        <f>LOG(I31,EXP(1))</f>
        <v>3.46573590279973</v>
      </c>
      <c r="P31" s="3">
        <f>LOG(J31,EXP(1))</f>
        <v>2.89037175789616</v>
      </c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>
      <c r="A32" s="3"/>
      <c r="B32" s="3" t="s">
        <v>40</v>
      </c>
      <c r="C32" s="3">
        <v>1945</v>
      </c>
      <c r="D32" s="3">
        <v>28.5</v>
      </c>
      <c r="E32" s="3">
        <v>-96.2</v>
      </c>
      <c r="F32" s="6">
        <f>distancekm3(G32,D32,E32,30.2,-89.3)</f>
        <v>121.46446339839</v>
      </c>
      <c r="G32" s="7">
        <v>5</v>
      </c>
      <c r="H32" s="3">
        <v>967</v>
      </c>
      <c r="I32" s="8">
        <f>1013-H32</f>
        <v>46</v>
      </c>
      <c r="J32" s="3">
        <v>18</v>
      </c>
      <c r="K32" s="5">
        <v>4</v>
      </c>
      <c r="L32" s="5">
        <f>0.5144*K32</f>
        <v>2.0576</v>
      </c>
      <c r="M32" s="3">
        <f>LOG(L32,EXP(1))</f>
        <v>0.721540255061163</v>
      </c>
      <c r="O32" s="3">
        <f>LOG(I32,EXP(1))</f>
        <v>3.82864139648909</v>
      </c>
      <c r="P32" s="3">
        <f>LOG(J32,EXP(1))</f>
        <v>2.89037175789616</v>
      </c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>
      <c r="A33" s="3"/>
      <c r="B33" s="3" t="s">
        <v>41</v>
      </c>
      <c r="C33" s="3">
        <v>1950</v>
      </c>
      <c r="D33" s="3">
        <v>30.2</v>
      </c>
      <c r="E33" s="3">
        <v>-88.1</v>
      </c>
      <c r="F33" s="6">
        <f>distancekm3(G33,D33,E33,30.2,-89.3)</f>
        <v>23.1082614149457</v>
      </c>
      <c r="G33" s="7">
        <v>10</v>
      </c>
      <c r="H33" s="3">
        <v>979</v>
      </c>
      <c r="I33" s="8">
        <f>1013-H33</f>
        <v>34</v>
      </c>
      <c r="J33" s="3">
        <v>21</v>
      </c>
      <c r="K33" s="5">
        <v>23</v>
      </c>
      <c r="L33" s="5">
        <f>0.5144*K33</f>
        <v>11.8312</v>
      </c>
      <c r="M33" s="3">
        <f>LOG(L33,EXP(1))</f>
        <v>2.47074010987042</v>
      </c>
      <c r="O33" s="3">
        <f>LOG(I33,EXP(1))</f>
        <v>3.52636052461616</v>
      </c>
      <c r="P33" s="3">
        <f>LOG(J33,EXP(1))</f>
        <v>3.04452243772342</v>
      </c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>
      <c r="A34" s="3"/>
      <c r="B34" s="3" t="s">
        <v>42</v>
      </c>
      <c r="C34" s="3">
        <v>1964</v>
      </c>
      <c r="D34" s="3">
        <v>25.8</v>
      </c>
      <c r="E34" s="3">
        <v>-81.3</v>
      </c>
      <c r="F34" s="4">
        <f>distancekm3(G34,D34,E34,30.2,-89.3)</f>
        <v>906.235771541945</v>
      </c>
      <c r="G34" s="7">
        <v>40</v>
      </c>
      <c r="H34" s="3">
        <v>969</v>
      </c>
      <c r="I34" s="8">
        <f>1013-H34</f>
        <v>44</v>
      </c>
      <c r="J34" s="3">
        <v>10</v>
      </c>
      <c r="K34" s="5">
        <v>15</v>
      </c>
      <c r="L34" s="5">
        <f>0.5144*K34</f>
        <v>7.716</v>
      </c>
      <c r="M34" s="3">
        <f>LOG(L34,EXP(1))</f>
        <v>2.04329609504348</v>
      </c>
      <c r="O34" s="3">
        <f>LOG(I34,EXP(1))</f>
        <v>3.78418963391826</v>
      </c>
      <c r="P34" s="3">
        <f>LOG(J34,EXP(1))</f>
        <v>2.30258509299405</v>
      </c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>
      <c r="A35" s="3"/>
      <c r="B35" s="3" t="s">
        <v>43</v>
      </c>
      <c r="C35" s="3">
        <v>1966</v>
      </c>
      <c r="D35" s="3">
        <v>30.1</v>
      </c>
      <c r="E35" s="3">
        <v>-84.4</v>
      </c>
      <c r="F35" s="6">
        <f>distancekm3(G35,D35,E35,30.2,-89.3)</f>
        <v>194.227072599095</v>
      </c>
      <c r="G35" s="7">
        <v>20</v>
      </c>
      <c r="H35" s="3">
        <v>982</v>
      </c>
      <c r="I35" s="8">
        <f>1013-H35</f>
        <v>31</v>
      </c>
      <c r="J35" s="3">
        <v>15</v>
      </c>
      <c r="K35" s="5">
        <v>9</v>
      </c>
      <c r="L35" s="5">
        <f>0.5144*K35</f>
        <v>4.6296</v>
      </c>
      <c r="M35" s="3">
        <f>LOG(L35,EXP(1))</f>
        <v>1.53247047127749</v>
      </c>
      <c r="O35" s="3">
        <f>LOG(I35,EXP(1))</f>
        <v>3.43398720448515</v>
      </c>
      <c r="P35" s="3">
        <f>LOG(J35,EXP(1))</f>
        <v>2.70805020110221</v>
      </c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>
      <c r="A36" s="3"/>
      <c r="B36" s="3" t="s">
        <v>44</v>
      </c>
      <c r="C36" s="3">
        <v>1968</v>
      </c>
      <c r="D36" s="3">
        <v>28.6</v>
      </c>
      <c r="E36" s="3">
        <v>-82.7</v>
      </c>
      <c r="F36" s="4">
        <f>distancekm3(G36,D36,E36,30.2,-89.3)</f>
        <v>648.261357515048</v>
      </c>
      <c r="G36" s="7">
        <v>55</v>
      </c>
      <c r="H36" s="3">
        <v>977</v>
      </c>
      <c r="I36" s="8">
        <f>1013-H36</f>
        <v>36</v>
      </c>
      <c r="J36" s="3">
        <v>17</v>
      </c>
      <c r="K36" s="5">
        <v>10</v>
      </c>
      <c r="L36" s="5">
        <f>0.5144*K36</f>
        <v>5.144</v>
      </c>
      <c r="M36" s="3">
        <f>LOG(L36,EXP(1))</f>
        <v>1.63783098693532</v>
      </c>
      <c r="O36" s="3">
        <f>LOG(I36,EXP(1))</f>
        <v>3.58351893845611</v>
      </c>
      <c r="P36" s="3">
        <f>LOG(J36,EXP(1))</f>
        <v>2.83321334405622</v>
      </c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>
      <c r="A37" s="3"/>
      <c r="B37" s="3" t="s">
        <v>45</v>
      </c>
      <c r="C37" s="3">
        <v>1970</v>
      </c>
      <c r="D37" s="3">
        <v>23.9</v>
      </c>
      <c r="E37" s="3">
        <v>-97.7</v>
      </c>
      <c r="F37" s="4">
        <f>distancekm3(G37,D37,E37,30.2,-89.3)</f>
        <v>912.539931696778</v>
      </c>
      <c r="G37" s="5">
        <v>280</v>
      </c>
      <c r="H37" s="3">
        <v>967</v>
      </c>
      <c r="I37" s="8">
        <f>1013-H37</f>
        <v>46</v>
      </c>
      <c r="J37" s="3">
        <v>21</v>
      </c>
      <c r="K37" s="5">
        <v>7</v>
      </c>
      <c r="L37" s="5">
        <f>0.5144*K37</f>
        <v>3.6008</v>
      </c>
      <c r="M37" s="3">
        <f>LOG(L37,EXP(1))</f>
        <v>1.28115604299659</v>
      </c>
      <c r="O37" s="3">
        <f>LOG(I37,EXP(1))</f>
        <v>3.82864139648909</v>
      </c>
      <c r="P37" s="3">
        <f>LOG(J37,EXP(1))</f>
        <v>3.04452243772342</v>
      </c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>
        <f>AVERAGE(M5:M37)</f>
        <v>1.71531400248757</v>
      </c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>
        <f>VAR(M5:M37)</f>
        <v>0.197616229548277</v>
      </c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6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6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6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6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  <row r="48" spans="1:37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6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</row>
    <row r="49" spans="1:37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</row>
    <row r="50" spans="1:37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</row>
    <row r="51" spans="1:37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</row>
    <row r="52" spans="1:37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</row>
    <row r="53" spans="1:37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</row>
    <row r="54" spans="1:37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</row>
    <row r="55" spans="1:37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</row>
    <row r="56" spans="1:37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</row>
    <row r="57" spans="1:37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</row>
  </sheetData>
  <mergeCells count="1">
    <mergeCell ref="A1:M1"/>
  </mergeCells>
  <pageMargins left="0.75" right="0.75" top="1" bottom="1" header="0.510416666666667" footer="0.510416666666667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"/>
  <sheetViews>
    <sheetView topLeftCell="A190" workbookViewId="0">
      <selection activeCell="O202" sqref="O202"/>
    </sheetView>
  </sheetViews>
  <sheetFormatPr defaultColWidth="9" defaultRowHeight="14.25"/>
  <sheetData/>
  <pageMargins left="0.75" right="0.75" top="1" bottom="1" header="0.510416666666667" footer="0.510416666666667"/>
  <pageSetup paperSize="9" orientation="portrait"/>
  <headerFooter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"/>
  <sheetViews>
    <sheetView workbookViewId="0">
      <selection activeCell="A1" sqref="A1"/>
    </sheetView>
  </sheetViews>
  <sheetFormatPr defaultColWidth="9" defaultRowHeight="14.25"/>
  <sheetData/>
  <pageMargins left="0.75" right="0.75" top="1" bottom="1" header="0.510416666666667" footer="0.510416666666667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Office 个人版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 SOURCE</vt:lpstr>
      <vt:lpstr>Graph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dell-1</dc:creator>
  <dcterms:created xsi:type="dcterms:W3CDTF">2015-07-13T20:44:00Z</dcterms:created>
  <dcterms:modified xsi:type="dcterms:W3CDTF">2015-09-17T02:42:16Z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2052-9.1.0.5132</vt:lpwstr>
  </property>
</Properties>
</file>