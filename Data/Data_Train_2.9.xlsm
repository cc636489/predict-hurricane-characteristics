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2.xml.rels" ContentType="application/vnd.openxmlformats-package.relationships+xml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822" firstSheet="0" activeTab="0"/>
  </bookViews>
  <sheets>
    <sheet name="Training Hurricanes" sheetId="1" state="visible" r:id="rId2"/>
    <sheet name="Texas Hurricanes" sheetId="2" state="visible" r:id="rId3"/>
    <sheet name="Data 1851-1900" sheetId="3" state="visible" r:id="rId4"/>
    <sheet name="Graph 1851-1900" sheetId="4" state="visible" r:id="rId5"/>
    <sheet name="Data 1900-1936" sheetId="5" state="visible" r:id="rId6"/>
    <sheet name="Graph 1900-1936" sheetId="6" state="visible" r:id="rId7"/>
    <sheet name="Data 1936-1980" sheetId="7" state="visible" r:id="rId8"/>
    <sheet name="Graph 1936-1980" sheetId="8" state="visible" r:id="rId9"/>
    <sheet name="Data 1980-2008" sheetId="9" state="visible" r:id="rId10"/>
    <sheet name="Graph 1980-2008" sheetId="10" state="visible" r:id="rId11"/>
    <sheet name="Avg. Data" sheetId="11" state="visible" r:id="rId12"/>
    <sheet name="Avg. Graphs" sheetId="12" state="visible" r:id="rId13"/>
  </sheets>
  <calcPr iterateCount="100" refMode="A1" iterate="false" iterateDelta="0.0001"/>
</workbook>
</file>

<file path=xl/sharedStrings.xml><?xml version="1.0" encoding="utf-8"?>
<sst xmlns="http://schemas.openxmlformats.org/spreadsheetml/2006/main" count="400" uniqueCount="169">
  <si>
    <t>Storms</t>
  </si>
  <si>
    <t>Resource</t>
  </si>
  <si>
    <t>Years</t>
  </si>
  <si>
    <t>Names</t>
  </si>
  <si>
    <t>Dates</t>
  </si>
  <si>
    <t>Landfall latitude (N)</t>
  </si>
  <si>
    <t>Landfall longitude (E)</t>
  </si>
  <si>
    <t>For calculation use</t>
  </si>
  <si>
    <r>
      <t xml:space="preserve">Heading Angle should calculate </t>
    </r>
    <r>
      <rPr>
        <sz val="12"/>
        <rFont val="Arial"/>
        <family val="2"/>
        <charset val="134"/>
      </rPr>
      <t xml:space="preserve">(</t>
    </r>
    <r>
      <rPr>
        <b val="true"/>
        <sz val="12"/>
        <rFont val="Arial"/>
        <family val="2"/>
        <charset val="134"/>
      </rPr>
      <t xml:space="preserve">deg)</t>
    </r>
  </si>
  <si>
    <t>Central Pressure (mb)</t>
  </si>
  <si>
    <r>
      <t xml:space="preserve">Pressure Deficit    </t>
    </r>
    <r>
      <rPr>
        <b val="true"/>
        <sz val="10"/>
        <rFont val="SimSun"/>
        <family val="0"/>
        <charset val="1"/>
      </rPr>
      <t xml:space="preserve">△</t>
    </r>
    <r>
      <rPr>
        <b val="true"/>
        <sz val="10"/>
        <rFont val="Arial"/>
        <family val="2"/>
        <charset val="1"/>
      </rPr>
      <t xml:space="preserve">P(mb)</t>
    </r>
  </si>
  <si>
    <t>Radius of Maximum Wind(km)</t>
  </si>
  <si>
    <t>Radius of Maximum Wind(nmi)</t>
  </si>
  <si>
    <t>Forward Speed should calculate (knots)</t>
  </si>
  <si>
    <t>Forward Speed    (m/s)</t>
  </si>
  <si>
    <t>Wind Speed (knots)</t>
  </si>
  <si>
    <t>Wind Speed    (m/s)</t>
  </si>
  <si>
    <t>Irish</t>
  </si>
  <si>
    <t>Unnamed</t>
  </si>
  <si>
    <t>Sep17-Sep27</t>
  </si>
  <si>
    <t>*</t>
  </si>
  <si>
    <t>Audrey</t>
  </si>
  <si>
    <t>Jun25-Jun29</t>
  </si>
  <si>
    <t>Carla</t>
  </si>
  <si>
    <t>Sep03-Sep16</t>
  </si>
  <si>
    <t>Beulah</t>
  </si>
  <si>
    <t>Sep05-Sep22</t>
  </si>
  <si>
    <t>Celia</t>
  </si>
  <si>
    <t>Jul31-Aug05</t>
  </si>
  <si>
    <t>Allen</t>
  </si>
  <si>
    <t>Jul31-Aug11</t>
  </si>
  <si>
    <t>Bret</t>
  </si>
  <si>
    <t>Aug18-Aug25</t>
  </si>
  <si>
    <t>Ivan</t>
  </si>
  <si>
    <t>Sep02-Sep24</t>
  </si>
  <si>
    <t>JPM</t>
  </si>
  <si>
    <t>Not named</t>
  </si>
  <si>
    <t>Jul25-Jul30</t>
  </si>
  <si>
    <t>-</t>
  </si>
  <si>
    <t>Edith</t>
  </si>
  <si>
    <t>Sep05-Sep18</t>
  </si>
  <si>
    <t>Fern</t>
  </si>
  <si>
    <t>Sep03-Sep13</t>
  </si>
  <si>
    <t>Rita</t>
  </si>
  <si>
    <t>Sep18-Sep26</t>
  </si>
  <si>
    <t>Aug03-Aug10</t>
  </si>
  <si>
    <t>Sep11-Sep16</t>
  </si>
  <si>
    <t>NOAA</t>
  </si>
  <si>
    <t>Claudette</t>
  </si>
  <si>
    <t>Jul08-Jul17</t>
  </si>
  <si>
    <t>Humberto</t>
  </si>
  <si>
    <t>Sep12-Sep14</t>
  </si>
  <si>
    <t>Dolly</t>
  </si>
  <si>
    <t>Jul20-Jul27</t>
  </si>
  <si>
    <t>Ike</t>
  </si>
  <si>
    <t>Sep01-Sep15</t>
  </si>
  <si>
    <t>red for greater storm </t>
  </si>
  <si>
    <t>Year</t>
  </si>
  <si>
    <t>Storm Name</t>
  </si>
  <si>
    <t>Dates in Texas</t>
  </si>
  <si>
    <t>Landfall location (latitude / longitude)</t>
  </si>
  <si>
    <r>
      <t xml:space="preserve">storm heading angle(</t>
    </r>
    <r>
      <rPr>
        <b val="true"/>
        <vertAlign val="superscript"/>
        <sz val="12"/>
        <rFont val="Arial"/>
        <family val="2"/>
        <charset val="134"/>
      </rPr>
      <t xml:space="preserve">o</t>
    </r>
    <r>
      <rPr>
        <b val="true"/>
        <sz val="12"/>
        <rFont val="Arial"/>
        <family val="2"/>
        <charset val="134"/>
      </rPr>
      <t xml:space="preserve">)</t>
    </r>
  </si>
  <si>
    <t>central presure (mb)</t>
  </si>
  <si>
    <t>forward speed      (Vf)</t>
  </si>
  <si>
    <t>Radius of     Maximum Wind(m)</t>
  </si>
  <si>
    <t>June 25 - 28</t>
  </si>
  <si>
    <t>June 25 - 27</t>
  </si>
  <si>
    <t>Sep 18 - 20</t>
  </si>
  <si>
    <t>July 11 - July 16</t>
  </si>
  <si>
    <t>Aug 16 - 17</t>
  </si>
  <si>
    <t>Sep 8 - 18</t>
  </si>
  <si>
    <t>Aug 19 - 24</t>
  </si>
  <si>
    <t>Aug 4 -14</t>
  </si>
  <si>
    <t>Jun 13 - 15</t>
  </si>
  <si>
    <t>Aug 12 - 21</t>
  </si>
  <si>
    <t>Sep 16 - 24</t>
  </si>
  <si>
    <t>Oct 8 - 13</t>
  </si>
  <si>
    <t>Sep 11 - 22</t>
  </si>
  <si>
    <t>Jun 16 - 18</t>
  </si>
  <si>
    <t>Jul 3 - 8</t>
  </si>
  <si>
    <t>Sep 10 - 13</t>
  </si>
  <si>
    <t>Aug 27 - Sep 15</t>
  </si>
  <si>
    <t>Jun 21 - 29</t>
  </si>
  <si>
    <t>Jun 25 - 30</t>
  </si>
  <si>
    <t>Jul 13 - 22</t>
  </si>
  <si>
    <t>Sep 5 - 15</t>
  </si>
  <si>
    <t>Oct 11 - 18</t>
  </si>
  <si>
    <t>Aug 5 - 23</t>
  </si>
  <si>
    <t>Aug 12 - 20</t>
  </si>
  <si>
    <t>Aug 1 - 7</t>
  </si>
  <si>
    <t>Sep 2 - 16</t>
  </si>
  <si>
    <t>Jun 16 - 26</t>
  </si>
  <si>
    <t>Jun 27 - 30</t>
  </si>
  <si>
    <t>Aug 12 - 15</t>
  </si>
  <si>
    <t>Aug 28 - Sep 5</t>
  </si>
  <si>
    <t>Jul 21 - 26</t>
  </si>
  <si>
    <t>Jun 26 - 28</t>
  </si>
  <si>
    <t>Sep 17 - 27</t>
  </si>
  <si>
    <t>Aug 17 - 23</t>
  </si>
  <si>
    <t>Aug 23 - Sep 1</t>
  </si>
  <si>
    <t>Jul 25 - 30</t>
  </si>
  <si>
    <t>Aug 24 - 29</t>
  </si>
  <si>
    <t>Aug 18 - 27</t>
  </si>
  <si>
    <t>Sep 27 - Oct 7</t>
  </si>
  <si>
    <t>Jun 25 - 29</t>
  </si>
  <si>
    <t>Debra</t>
  </si>
  <si>
    <t>Jul 23 - 28</t>
  </si>
  <si>
    <t>Sep 3 - 16</t>
  </si>
  <si>
    <t>Cindy</t>
  </si>
  <si>
    <t>Sep 16 - 20</t>
  </si>
  <si>
    <t>Sep 5 -22</t>
  </si>
  <si>
    <t>Jul 31 - Aug 5</t>
  </si>
  <si>
    <t>Aug 1 - 11</t>
  </si>
  <si>
    <t>Alicia</t>
  </si>
  <si>
    <t>Aug 15 - 21</t>
  </si>
  <si>
    <t>Bonnie</t>
  </si>
  <si>
    <t>Jun 23 - 28</t>
  </si>
  <si>
    <t>Chantal</t>
  </si>
  <si>
    <t>Jul 30 - Aug 3</t>
  </si>
  <si>
    <t>Jerry</t>
  </si>
  <si>
    <t>Oct 12 - 16</t>
  </si>
  <si>
    <t>Aug 18 - 25</t>
  </si>
  <si>
    <t>Jul 8 - 17</t>
  </si>
  <si>
    <t>Sep 18 - 26</t>
  </si>
  <si>
    <t>Sep 12 - 14</t>
  </si>
  <si>
    <t>Jul 20 - 25</t>
  </si>
  <si>
    <t>Sep 1 - 14</t>
  </si>
  <si>
    <r>
      <t xml:space="preserve">Days aligned by 1</t>
    </r>
    <r>
      <rPr>
        <vertAlign val="superscript"/>
        <sz val="10"/>
        <rFont val="Arial"/>
        <family val="2"/>
        <charset val="134"/>
      </rPr>
      <t xml:space="preserve">st</t>
    </r>
    <r>
      <rPr>
        <sz val="10"/>
        <rFont val="Arial"/>
        <family val="2"/>
        <charset val="134"/>
      </rPr>
      <t xml:space="preserve"> day</t>
    </r>
  </si>
  <si>
    <t>Days</t>
  </si>
  <si>
    <t>Position in latitude (N)</t>
  </si>
  <si>
    <t>Position in longitude (E)</t>
  </si>
  <si>
    <t>Wind Speed (m/s)</t>
  </si>
  <si>
    <t>Forward Speed (knots)</t>
  </si>
  <si>
    <t>Radius of max storm (nmile)</t>
  </si>
  <si>
    <t>Days aligned by lowest pressure day</t>
  </si>
  <si>
    <t>July 11 - 16</t>
  </si>
  <si>
    <t>Position in latitude  (N)</t>
  </si>
  <si>
    <t>Wind      Speed       (m/s)</t>
  </si>
  <si>
    <t>Forward Speed  (knots)</t>
  </si>
  <si>
    <t>AL031936</t>
  </si>
  <si>
    <t>AL021941</t>
  </si>
  <si>
    <t>AL021942</t>
  </si>
  <si>
    <t>AL031942</t>
  </si>
  <si>
    <t>AL011943</t>
  </si>
  <si>
    <t>AL051945</t>
  </si>
  <si>
    <t>AL031947</t>
  </si>
  <si>
    <t>AL111949</t>
  </si>
  <si>
    <t>AL021957</t>
  </si>
  <si>
    <t>AL051959</t>
  </si>
  <si>
    <t>AL031961</t>
  </si>
  <si>
    <t>AL041963</t>
  </si>
  <si>
    <t>AL131967</t>
  </si>
  <si>
    <t>AL041970</t>
  </si>
  <si>
    <t>AL041980</t>
  </si>
  <si>
    <t>AL031983</t>
  </si>
  <si>
    <t>AL021986</t>
  </si>
  <si>
    <t>AL041989</t>
  </si>
  <si>
    <t>AL141989</t>
  </si>
  <si>
    <t>AL031999</t>
  </si>
  <si>
    <t>AL042003</t>
  </si>
  <si>
    <t>AL182005</t>
  </si>
  <si>
    <t>AL092007</t>
  </si>
  <si>
    <t>AL042008</t>
  </si>
  <si>
    <t>AL092008</t>
  </si>
  <si>
    <t>Wind Speed (m/sec)</t>
  </si>
  <si>
    <t>Average Wind Speed</t>
  </si>
  <si>
    <t>Barometric Pressure</t>
  </si>
  <si>
    <t>Average Barometric Pressure</t>
  </si>
  <si>
    <t>Average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</si>
</sst>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_ "/>
    <numFmt numFmtId="166" formatCode="0.00_ "/>
    <numFmt numFmtId="167" formatCode="0.0"/>
    <numFmt numFmtId="168" formatCode="0.00"/>
    <numFmt numFmtId="169" formatCode="0"/>
  </numFmts>
  <fonts count="30">
    <font>
      <sz val="10"/>
      <name val="Arial"/>
      <family val="2"/>
      <charset val="13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34"/>
    </font>
    <font>
      <b val="true"/>
      <sz val="10"/>
      <color rgb="FF000000"/>
      <name val="Arial"/>
      <family val="2"/>
      <charset val="134"/>
    </font>
    <font>
      <b val="true"/>
      <sz val="10"/>
      <color rgb="FF000000"/>
      <name val="Arial"/>
      <family val="2"/>
      <charset val="1"/>
    </font>
    <font>
      <b val="true"/>
      <sz val="10"/>
      <name val="Arial"/>
      <family val="2"/>
      <charset val="134"/>
    </font>
    <font>
      <sz val="12"/>
      <name val="Arial"/>
      <family val="2"/>
      <charset val="134"/>
    </font>
    <font>
      <b val="true"/>
      <sz val="12"/>
      <name val="Arial"/>
      <family val="2"/>
      <charset val="134"/>
    </font>
    <font>
      <b val="true"/>
      <sz val="10"/>
      <name val="Arial"/>
      <family val="2"/>
      <charset val="1"/>
    </font>
    <font>
      <b val="true"/>
      <sz val="10"/>
      <name val="SimSun"/>
      <family val="0"/>
      <charset val="1"/>
    </font>
    <font>
      <sz val="10"/>
      <color rgb="FF000000"/>
      <name val="Arial"/>
      <family val="2"/>
      <charset val="1"/>
    </font>
    <font>
      <sz val="10"/>
      <color rgb="FFC5000B"/>
      <name val="Arial"/>
      <family val="2"/>
      <charset val="1"/>
    </font>
    <font>
      <b val="true"/>
      <vertAlign val="superscript"/>
      <sz val="12"/>
      <name val="Arial"/>
      <family val="2"/>
      <charset val="134"/>
    </font>
    <font>
      <vertAlign val="superscript"/>
      <sz val="10"/>
      <name val="Arial"/>
      <family val="2"/>
      <charset val="134"/>
    </font>
    <font>
      <sz val="10"/>
      <color rgb="FF333333"/>
      <name val="Arial"/>
      <family val="2"/>
      <charset val="134"/>
    </font>
    <font>
      <b val="true"/>
      <sz val="10"/>
      <color rgb="FF333333"/>
      <name val="Arial"/>
      <family val="2"/>
      <charset val="134"/>
    </font>
    <font>
      <b val="true"/>
      <sz val="10"/>
      <color rgb="FF003300"/>
      <name val="宋体"/>
      <family val="2"/>
    </font>
    <font>
      <sz val="10"/>
      <name val="Arial"/>
      <family val="2"/>
    </font>
    <font>
      <sz val="14"/>
      <name val="Arial"/>
      <family val="2"/>
      <charset val="1"/>
    </font>
    <font>
      <sz val="10"/>
      <color rgb="FF333333"/>
      <name val="Arial"/>
      <family val="2"/>
      <charset val="1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1"/>
      <name val="Arial"/>
      <family val="2"/>
      <charset val="1"/>
    </font>
    <font>
      <b val="true"/>
      <sz val="11"/>
      <color rgb="FF333333"/>
      <name val="Arial"/>
      <family val="2"/>
      <charset val="1"/>
    </font>
    <font>
      <b val="true"/>
      <sz val="12"/>
      <color rgb="FF80000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b val="true"/>
      <sz val="10"/>
      <color rgb="FF333333"/>
      <name val="Arial"/>
      <family val="2"/>
      <charset val="1"/>
    </font>
    <font>
      <b val="true"/>
      <sz val="18"/>
      <color rgb="FF003300"/>
      <name val="宋体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5">
    <xf numFmtId="164" fontId="0" fillId="0" borderId="0" xfId="0" applyFont="false" applyBorder="false" applyAlignment="false" applyProtection="fals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2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20" fillId="2" borderId="1" xfId="0" applyFont="true" applyBorder="true" applyAlignment="false" applyProtection="false">
      <alignment horizontal="general" vertical="top" textRotation="0" wrapText="false" indent="0" shrinkToFit="false"/>
      <protection locked="true" hidden="false"/>
    </xf>
    <xf numFmtId="168" fontId="20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21" fillId="2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21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22" fillId="2" borderId="1" xfId="0" applyFont="true" applyBorder="true" applyAlignment="false" applyProtection="false">
      <alignment horizontal="general" vertical="top" textRotation="0" wrapText="false" indent="0" shrinkToFit="false"/>
      <protection locked="true" hidden="false"/>
    </xf>
    <xf numFmtId="167" fontId="23" fillId="2" borderId="1" xfId="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7" fontId="24" fillId="0" borderId="2" xfId="0" applyFont="true" applyBorder="true" applyAlignment="false" applyProtection="false">
      <alignment horizontal="general" vertical="top" textRotation="0" wrapText="false" indent="0" shrinkToFit="false"/>
      <protection locked="true" hidden="false"/>
    </xf>
    <xf numFmtId="167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24" fillId="0" borderId="3" xfId="0" applyFont="true" applyBorder="true" applyAlignment="false" applyProtection="false">
      <alignment horizontal="general" vertical="top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top" textRotation="0" wrapText="false" indent="0" shrinkToFit="false"/>
      <protection locked="true" hidden="false"/>
    </xf>
    <xf numFmtId="167" fontId="25" fillId="0" borderId="3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25" fillId="0" borderId="4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top" textRotation="0" wrapText="false" indent="0" shrinkToFit="false"/>
      <protection locked="true" hidden="false"/>
    </xf>
    <xf numFmtId="167" fontId="21" fillId="0" borderId="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5" xfId="0" applyFont="false" applyBorder="true" applyAlignment="false" applyProtection="false">
      <alignment horizontal="general" vertical="top" textRotation="0" wrapText="false" indent="0" shrinkToFit="false"/>
      <protection locked="true" hidden="false"/>
    </xf>
    <xf numFmtId="167" fontId="26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27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28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24" fillId="0" borderId="0" xfId="0" applyFont="true" applyBorder="false" applyAlignment="false" applyProtection="false">
      <alignment horizontal="general" vertical="top" textRotation="0" wrapText="false" indent="0" shrinkToFit="false"/>
      <protection locked="true" hidden="false"/>
    </xf>
    <xf numFmtId="169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top" textRotation="0" wrapText="false" indent="0" shrinkToFit="false"/>
      <protection locked="true" hidden="false"/>
    </xf>
    <xf numFmtId="167" fontId="2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25" fillId="0" borderId="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9" fontId="21" fillId="0" borderId="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9" fontId="0" fillId="0" borderId="5" xfId="0" applyFont="false" applyBorder="true" applyAlignment="false" applyProtection="false">
      <alignment horizontal="general" vertical="top" textRotation="0" wrapText="false" indent="0" shrinkToFit="false"/>
      <protection locked="true" hidden="false"/>
    </xf>
    <xf numFmtId="167" fontId="26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10" fillId="0" borderId="0" xfId="0" applyFont="true" applyBorder="false" applyAlignment="false" applyProtection="false">
      <alignment horizontal="general" vertical="top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C5000B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7E0021"/>
      <rgbColor rgb="FF008080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3366FF"/>
      <rgbColor rgb="FF33CCCC"/>
      <rgbColor rgb="FFAECF00"/>
      <rgbColor rgb="FFFFD320"/>
      <rgbColor rgb="FFFF950E"/>
      <rgbColor rgb="FFFF420E"/>
      <rgbColor rgb="FF666699"/>
      <rgbColor rgb="FF969696"/>
      <rgbColor rgb="FF004586"/>
      <rgbColor rgb="FF579D1C"/>
      <rgbColor rgb="FF003300"/>
      <rgbColor rgb="FF314004"/>
      <rgbColor rgb="FF993300"/>
      <rgbColor rgb="FF993366"/>
      <rgbColor rgb="FF4B1F6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b="1" sz="1000">
                <a:solidFill>
                  <a:srgbClr val="003300"/>
                </a:solidFill>
                <a:latin typeface="宋体"/>
                <a:ea typeface="宋体"/>
              </a:rPr>
              <a:t>Wind Speed Comparison(1980-2008)</a:t>
            </a:r>
          </a:p>
        </c:rich>
      </c:tx>
      <c:layout/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'Data 1980-2008'!$C$3</c:f>
              <c:strCache>
                <c:ptCount val="1"/>
                <c:pt idx="0">
                  <c:v>Allen</c:v>
                </c:pt>
              </c:strCache>
            </c:strRef>
          </c:tx>
          <c:spPr>
            <a:solidFill>
              <a:srgbClr val="c5000b"/>
            </a:solidFill>
            <a:ln w="25560">
              <a:solidFill>
                <a:srgbClr val="c5000b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1980-2008'!$A$4:$A$49</c:f>
              <c:numCache>
                <c:formatCode>General</c:formatCode>
                <c:ptCount val="4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  <c:pt idx="38">
                  <c:v>10.5</c:v>
                </c:pt>
                <c:pt idx="39">
                  <c:v>10.75</c:v>
                </c:pt>
                <c:pt idx="40">
                  <c:v>11</c:v>
                </c:pt>
                <c:pt idx="41">
                  <c:v>11.25</c:v>
                </c:pt>
                <c:pt idx="42">
                  <c:v>11.5</c:v>
                </c:pt>
                <c:pt idx="43">
                  <c:v>11.75</c:v>
                </c:pt>
                <c:pt idx="44">
                  <c:v>12</c:v>
                </c:pt>
                <c:pt idx="45">
                  <c:v>12.25</c:v>
                </c:pt>
              </c:numCache>
            </c:numRef>
          </c:xVal>
          <c:yVal>
            <c:numRef>
              <c:f>'Data 1980-2008'!$F$4:$F$49</c:f>
              <c:numCache>
                <c:formatCode>General</c:formatCode>
                <c:ptCount val="46"/>
                <c:pt idx="0">
                  <c:v>12.86</c:v>
                </c:pt>
                <c:pt idx="1">
                  <c:v>12.86</c:v>
                </c:pt>
                <c:pt idx="2">
                  <c:v>15.432</c:v>
                </c:pt>
                <c:pt idx="3">
                  <c:v>15.432</c:v>
                </c:pt>
                <c:pt idx="4">
                  <c:v>15.432</c:v>
                </c:pt>
                <c:pt idx="5">
                  <c:v>15.432</c:v>
                </c:pt>
                <c:pt idx="6">
                  <c:v>18.004</c:v>
                </c:pt>
                <c:pt idx="7">
                  <c:v>23.148</c:v>
                </c:pt>
                <c:pt idx="8">
                  <c:v>28.292</c:v>
                </c:pt>
                <c:pt idx="9">
                  <c:v>30.864</c:v>
                </c:pt>
                <c:pt idx="10">
                  <c:v>33.436</c:v>
                </c:pt>
                <c:pt idx="11">
                  <c:v>36.008</c:v>
                </c:pt>
                <c:pt idx="12">
                  <c:v>41.152</c:v>
                </c:pt>
                <c:pt idx="13">
                  <c:v>48.868</c:v>
                </c:pt>
                <c:pt idx="14">
                  <c:v>56.584</c:v>
                </c:pt>
                <c:pt idx="15">
                  <c:v>59.156</c:v>
                </c:pt>
                <c:pt idx="16">
                  <c:v>64.3</c:v>
                </c:pt>
                <c:pt idx="17">
                  <c:v>66.872</c:v>
                </c:pt>
                <c:pt idx="18">
                  <c:v>72.016</c:v>
                </c:pt>
                <c:pt idx="19">
                  <c:v>74.588</c:v>
                </c:pt>
                <c:pt idx="20">
                  <c:v>79.732</c:v>
                </c:pt>
                <c:pt idx="21">
                  <c:v>77.16</c:v>
                </c:pt>
                <c:pt idx="22">
                  <c:v>72.016</c:v>
                </c:pt>
                <c:pt idx="23">
                  <c:v>59.156</c:v>
                </c:pt>
                <c:pt idx="24">
                  <c:v>59.156</c:v>
                </c:pt>
                <c:pt idx="25">
                  <c:v>64.3</c:v>
                </c:pt>
                <c:pt idx="26">
                  <c:v>69.444</c:v>
                </c:pt>
                <c:pt idx="27">
                  <c:v>74.588</c:v>
                </c:pt>
                <c:pt idx="28">
                  <c:v>79.732</c:v>
                </c:pt>
                <c:pt idx="29">
                  <c:v>84.876</c:v>
                </c:pt>
                <c:pt idx="30">
                  <c:v>79.732</c:v>
                </c:pt>
                <c:pt idx="31">
                  <c:v>66.872</c:v>
                </c:pt>
                <c:pt idx="32">
                  <c:v>59.156</c:v>
                </c:pt>
                <c:pt idx="33">
                  <c:v>66.872</c:v>
                </c:pt>
                <c:pt idx="34">
                  <c:v>74.588</c:v>
                </c:pt>
                <c:pt idx="35">
                  <c:v>79.732</c:v>
                </c:pt>
                <c:pt idx="36">
                  <c:v>72.016</c:v>
                </c:pt>
                <c:pt idx="37">
                  <c:v>64.3</c:v>
                </c:pt>
                <c:pt idx="38">
                  <c:v>56.584</c:v>
                </c:pt>
                <c:pt idx="39">
                  <c:v>51.44</c:v>
                </c:pt>
                <c:pt idx="40">
                  <c:v>43.724</c:v>
                </c:pt>
                <c:pt idx="41">
                  <c:v>36.008</c:v>
                </c:pt>
                <c:pt idx="42">
                  <c:v>30.864</c:v>
                </c:pt>
                <c:pt idx="43">
                  <c:v>23.148</c:v>
                </c:pt>
                <c:pt idx="44">
                  <c:v>15.432</c:v>
                </c:pt>
                <c:pt idx="45">
                  <c:v>15.432</c:v>
                </c:pt>
              </c:numCache>
            </c:numRef>
          </c:yVal>
        </c:ser>
        <c:ser>
          <c:idx val="1"/>
          <c:order val="1"/>
          <c:tx>
            <c:strRef>
              <c:f>'Data 1980-2008'!$C$52</c:f>
              <c:strCache>
                <c:ptCount val="1"/>
                <c:pt idx="0">
                  <c:v>Alicia</c:v>
                </c:pt>
              </c:strCache>
            </c:strRef>
          </c:tx>
          <c:spPr>
            <a:solidFill>
              <a:srgbClr val="004586"/>
            </a:solidFill>
            <a:ln w="25560">
              <a:solidFill>
                <a:srgbClr val="004586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1980-2008'!$A$53:$A$76</c:f>
              <c:numCache>
                <c:formatCode>General</c:formatCode>
                <c:ptCount val="24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3.79</c:v>
                </c:pt>
                <c:pt idx="13">
                  <c:v>4</c:v>
                </c:pt>
                <c:pt idx="14">
                  <c:v>4.25</c:v>
                </c:pt>
                <c:pt idx="15">
                  <c:v>4.5</c:v>
                </c:pt>
                <c:pt idx="16">
                  <c:v>4.75</c:v>
                </c:pt>
                <c:pt idx="17">
                  <c:v>5</c:v>
                </c:pt>
                <c:pt idx="18">
                  <c:v>5.25</c:v>
                </c:pt>
                <c:pt idx="19">
                  <c:v>5.5</c:v>
                </c:pt>
                <c:pt idx="20">
                  <c:v>5.75</c:v>
                </c:pt>
                <c:pt idx="21">
                  <c:v>6</c:v>
                </c:pt>
                <c:pt idx="22">
                  <c:v>6.25</c:v>
                </c:pt>
                <c:pt idx="23">
                  <c:v>6.5</c:v>
                </c:pt>
              </c:numCache>
            </c:numRef>
          </c:xVal>
          <c:yVal>
            <c:numRef>
              <c:f>'Data 1980-2008'!$F$53:$F$76</c:f>
              <c:numCache>
                <c:formatCode>General</c:formatCode>
                <c:ptCount val="24"/>
                <c:pt idx="0">
                  <c:v>15.432</c:v>
                </c:pt>
                <c:pt idx="1">
                  <c:v>20.576</c:v>
                </c:pt>
                <c:pt idx="2">
                  <c:v>23.148</c:v>
                </c:pt>
                <c:pt idx="3">
                  <c:v>25.72</c:v>
                </c:pt>
                <c:pt idx="4">
                  <c:v>28.292</c:v>
                </c:pt>
                <c:pt idx="5">
                  <c:v>30.864</c:v>
                </c:pt>
                <c:pt idx="6">
                  <c:v>33.436</c:v>
                </c:pt>
                <c:pt idx="7">
                  <c:v>36.008</c:v>
                </c:pt>
                <c:pt idx="8">
                  <c:v>38.58</c:v>
                </c:pt>
                <c:pt idx="9">
                  <c:v>46.296</c:v>
                </c:pt>
                <c:pt idx="10">
                  <c:v>48.868</c:v>
                </c:pt>
                <c:pt idx="11">
                  <c:v>51.44</c:v>
                </c:pt>
                <c:pt idx="12">
                  <c:v>41.152</c:v>
                </c:pt>
                <c:pt idx="13">
                  <c:v>20.576</c:v>
                </c:pt>
                <c:pt idx="14">
                  <c:v>18.004</c:v>
                </c:pt>
                <c:pt idx="15">
                  <c:v>15.432</c:v>
                </c:pt>
                <c:pt idx="16">
                  <c:v>12.86</c:v>
                </c:pt>
                <c:pt idx="17">
                  <c:v>12.86</c:v>
                </c:pt>
                <c:pt idx="18">
                  <c:v>10.288</c:v>
                </c:pt>
                <c:pt idx="19">
                  <c:v>10.288</c:v>
                </c:pt>
                <c:pt idx="20">
                  <c:v>10.288</c:v>
                </c:pt>
                <c:pt idx="21">
                  <c:v>10.288</c:v>
                </c:pt>
                <c:pt idx="22">
                  <c:v>10.288</c:v>
                </c:pt>
                <c:pt idx="23">
                  <c:v>10.288</c:v>
                </c:pt>
              </c:numCache>
            </c:numRef>
          </c:yVal>
        </c:ser>
        <c:ser>
          <c:idx val="2"/>
          <c:order val="2"/>
          <c:tx>
            <c:strRef>
              <c:f>'Data 1980-2008'!$C$79</c:f>
              <c:strCache>
                <c:ptCount val="1"/>
                <c:pt idx="0">
                  <c:v>Bonnie</c:v>
                </c:pt>
              </c:strCache>
            </c:strRef>
          </c:tx>
          <c:spPr>
            <a:solidFill>
              <a:srgbClr val="ff420e"/>
            </a:solidFill>
            <a:ln w="25560">
              <a:solidFill>
                <a:srgbClr val="ff420e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1980-2008'!$A$80:$A$99</c:f>
              <c:numCache>
                <c:formatCode>General</c:formatCode>
                <c:ptCount val="20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3.67</c:v>
                </c:pt>
                <c:pt idx="12">
                  <c:v>3.75</c:v>
                </c:pt>
                <c:pt idx="13">
                  <c:v>4</c:v>
                </c:pt>
                <c:pt idx="14">
                  <c:v>4.25</c:v>
                </c:pt>
                <c:pt idx="15">
                  <c:v>4.5</c:v>
                </c:pt>
                <c:pt idx="16">
                  <c:v>4.75</c:v>
                </c:pt>
                <c:pt idx="17">
                  <c:v>5</c:v>
                </c:pt>
                <c:pt idx="18">
                  <c:v>5.25</c:v>
                </c:pt>
                <c:pt idx="19">
                  <c:v>5.5</c:v>
                </c:pt>
              </c:numCache>
            </c:numRef>
          </c:xVal>
          <c:yVal>
            <c:numRef>
              <c:f>'Data 1980-2008'!$F$80:$F$99</c:f>
              <c:numCache>
                <c:formatCode>General</c:formatCode>
                <c:ptCount val="20"/>
                <c:pt idx="0">
                  <c:v>12.86</c:v>
                </c:pt>
                <c:pt idx="1">
                  <c:v>12.86</c:v>
                </c:pt>
                <c:pt idx="2">
                  <c:v>12.86</c:v>
                </c:pt>
                <c:pt idx="3">
                  <c:v>15.432</c:v>
                </c:pt>
                <c:pt idx="4">
                  <c:v>20.576</c:v>
                </c:pt>
                <c:pt idx="5">
                  <c:v>23.148</c:v>
                </c:pt>
                <c:pt idx="6">
                  <c:v>25.72</c:v>
                </c:pt>
                <c:pt idx="7">
                  <c:v>28.292</c:v>
                </c:pt>
                <c:pt idx="8">
                  <c:v>33.436</c:v>
                </c:pt>
                <c:pt idx="9">
                  <c:v>36.008</c:v>
                </c:pt>
                <c:pt idx="10">
                  <c:v>38.58</c:v>
                </c:pt>
                <c:pt idx="11">
                  <c:v>33.436</c:v>
                </c:pt>
                <c:pt idx="12">
                  <c:v>18.004</c:v>
                </c:pt>
                <c:pt idx="13">
                  <c:v>15.432</c:v>
                </c:pt>
                <c:pt idx="14">
                  <c:v>12.86</c:v>
                </c:pt>
                <c:pt idx="15">
                  <c:v>10.288</c:v>
                </c:pt>
                <c:pt idx="16">
                  <c:v>10.288</c:v>
                </c:pt>
                <c:pt idx="17">
                  <c:v>7.716</c:v>
                </c:pt>
                <c:pt idx="18">
                  <c:v>5.144</c:v>
                </c:pt>
                <c:pt idx="19">
                  <c:v>5.144</c:v>
                </c:pt>
              </c:numCache>
            </c:numRef>
          </c:yVal>
        </c:ser>
        <c:ser>
          <c:idx val="3"/>
          <c:order val="3"/>
          <c:tx>
            <c:strRef>
              <c:f>'Data 1980-2008'!$E$102</c:f>
              <c:strCache>
                <c:ptCount val="1"/>
                <c:pt idx="0">
                  <c:v>Chantal</c:v>
                </c:pt>
              </c:strCache>
            </c:strRef>
          </c:tx>
          <c:spPr>
            <a:solidFill>
              <a:srgbClr val="ffd320"/>
            </a:solidFill>
            <a:ln w="25560">
              <a:solidFill>
                <a:srgbClr val="ffd320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1980-2008'!$A$103:$A$117</c:f>
              <c:numCache>
                <c:formatCode>General</c:formatCode>
                <c:ptCount val="1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3.04</c:v>
                </c:pt>
                <c:pt idx="10">
                  <c:v>3.25</c:v>
                </c:pt>
                <c:pt idx="11">
                  <c:v>3.5</c:v>
                </c:pt>
                <c:pt idx="12">
                  <c:v>3.75</c:v>
                </c:pt>
                <c:pt idx="13">
                  <c:v>4</c:v>
                </c:pt>
                <c:pt idx="14">
                  <c:v>4.25</c:v>
                </c:pt>
              </c:numCache>
            </c:numRef>
          </c:xVal>
          <c:yVal>
            <c:numRef>
              <c:f>'Data 1980-2008'!$F$103:$F$117</c:f>
              <c:numCache>
                <c:formatCode>General</c:formatCode>
                <c:ptCount val="15"/>
                <c:pt idx="0">
                  <c:v>10.288</c:v>
                </c:pt>
                <c:pt idx="1">
                  <c:v>12.86</c:v>
                </c:pt>
                <c:pt idx="2">
                  <c:v>15.432</c:v>
                </c:pt>
                <c:pt idx="3">
                  <c:v>18.004</c:v>
                </c:pt>
                <c:pt idx="4">
                  <c:v>25.72</c:v>
                </c:pt>
                <c:pt idx="5">
                  <c:v>28.292</c:v>
                </c:pt>
                <c:pt idx="6">
                  <c:v>33.436</c:v>
                </c:pt>
                <c:pt idx="7">
                  <c:v>36.008</c:v>
                </c:pt>
                <c:pt idx="8">
                  <c:v>36.008</c:v>
                </c:pt>
                <c:pt idx="9">
                  <c:v>25.72</c:v>
                </c:pt>
                <c:pt idx="10">
                  <c:v>18.004</c:v>
                </c:pt>
                <c:pt idx="11">
                  <c:v>12.86</c:v>
                </c:pt>
                <c:pt idx="12">
                  <c:v>10.288</c:v>
                </c:pt>
                <c:pt idx="13">
                  <c:v>10.288</c:v>
                </c:pt>
                <c:pt idx="14">
                  <c:v>10.288</c:v>
                </c:pt>
              </c:numCache>
            </c:numRef>
          </c:yVal>
        </c:ser>
        <c:ser>
          <c:idx val="4"/>
          <c:order val="4"/>
          <c:tx>
            <c:strRef>
              <c:f>'Data 1980-2008'!$E$120</c:f>
              <c:strCache>
                <c:ptCount val="1"/>
                <c:pt idx="0">
                  <c:v>Jerry</c:v>
                </c:pt>
              </c:strCache>
            </c:strRef>
          </c:tx>
          <c:spPr>
            <a:solidFill>
              <a:srgbClr val="579d1c"/>
            </a:solidFill>
            <a:ln w="25560">
              <a:solidFill>
                <a:srgbClr val="579d1c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1980-2008'!$A$121:$A$138</c:f>
              <c:numCache>
                <c:formatCode>General</c:formatCode>
                <c:ptCount val="1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4.38</c:v>
                </c:pt>
                <c:pt idx="15">
                  <c:v>4.5</c:v>
                </c:pt>
                <c:pt idx="16">
                  <c:v>4.51</c:v>
                </c:pt>
                <c:pt idx="17">
                  <c:v>4.75</c:v>
                </c:pt>
              </c:numCache>
            </c:numRef>
          </c:xVal>
          <c:yVal>
            <c:numRef>
              <c:f>'Data 1980-2008'!$F$121:$F$138</c:f>
              <c:numCache>
                <c:formatCode>General</c:formatCode>
                <c:ptCount val="18"/>
                <c:pt idx="0">
                  <c:v>12.86</c:v>
                </c:pt>
                <c:pt idx="1">
                  <c:v>15.432</c:v>
                </c:pt>
                <c:pt idx="2">
                  <c:v>18.004</c:v>
                </c:pt>
                <c:pt idx="3">
                  <c:v>20.576</c:v>
                </c:pt>
                <c:pt idx="4">
                  <c:v>23.148</c:v>
                </c:pt>
                <c:pt idx="5">
                  <c:v>25.72</c:v>
                </c:pt>
                <c:pt idx="6">
                  <c:v>28.292</c:v>
                </c:pt>
                <c:pt idx="7">
                  <c:v>28.292</c:v>
                </c:pt>
                <c:pt idx="8">
                  <c:v>28.292</c:v>
                </c:pt>
                <c:pt idx="9">
                  <c:v>28.292</c:v>
                </c:pt>
                <c:pt idx="10">
                  <c:v>28.292</c:v>
                </c:pt>
                <c:pt idx="11">
                  <c:v>28.292</c:v>
                </c:pt>
                <c:pt idx="12">
                  <c:v>30.864</c:v>
                </c:pt>
                <c:pt idx="13">
                  <c:v>33.436</c:v>
                </c:pt>
                <c:pt idx="14">
                  <c:v>38.58</c:v>
                </c:pt>
                <c:pt idx="15">
                  <c:v>18.004</c:v>
                </c:pt>
                <c:pt idx="16">
                  <c:v>10.288</c:v>
                </c:pt>
                <c:pt idx="17">
                  <c:v>7.716</c:v>
                </c:pt>
              </c:numCache>
            </c:numRef>
          </c:yVal>
        </c:ser>
        <c:ser>
          <c:idx val="5"/>
          <c:order val="5"/>
          <c:tx>
            <c:strRef>
              <c:f>'Data 1980-2008'!$E$142</c:f>
              <c:strCache>
                <c:ptCount val="1"/>
                <c:pt idx="0">
                  <c:v>Bret</c:v>
                </c:pt>
              </c:strCache>
            </c:strRef>
          </c:tx>
          <c:spPr>
            <a:solidFill>
              <a:srgbClr val="7e0021"/>
            </a:solidFill>
            <a:ln w="25560">
              <a:solidFill>
                <a:srgbClr val="7e0021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1980-2008'!$A$143:$A$168</c:f>
              <c:numCache>
                <c:formatCode>General</c:formatCode>
                <c:ptCount val="2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</c:numCache>
            </c:numRef>
          </c:xVal>
          <c:yVal>
            <c:numRef>
              <c:f>'Data 1980-2008'!$F$143:$F$168</c:f>
              <c:numCache>
                <c:formatCode>General</c:formatCode>
                <c:ptCount val="26"/>
                <c:pt idx="0">
                  <c:v>15.432</c:v>
                </c:pt>
                <c:pt idx="1">
                  <c:v>15.432</c:v>
                </c:pt>
                <c:pt idx="2">
                  <c:v>15.432</c:v>
                </c:pt>
                <c:pt idx="3">
                  <c:v>15.432</c:v>
                </c:pt>
                <c:pt idx="4">
                  <c:v>18.004</c:v>
                </c:pt>
                <c:pt idx="5">
                  <c:v>20.576</c:v>
                </c:pt>
                <c:pt idx="6">
                  <c:v>23.148</c:v>
                </c:pt>
                <c:pt idx="7">
                  <c:v>25.72</c:v>
                </c:pt>
                <c:pt idx="8">
                  <c:v>28.292</c:v>
                </c:pt>
                <c:pt idx="9">
                  <c:v>33.436</c:v>
                </c:pt>
                <c:pt idx="10">
                  <c:v>38.58</c:v>
                </c:pt>
                <c:pt idx="11">
                  <c:v>41.152</c:v>
                </c:pt>
                <c:pt idx="12">
                  <c:v>46.296</c:v>
                </c:pt>
                <c:pt idx="13">
                  <c:v>61.728</c:v>
                </c:pt>
                <c:pt idx="14">
                  <c:v>64.3</c:v>
                </c:pt>
                <c:pt idx="15">
                  <c:v>64.3</c:v>
                </c:pt>
                <c:pt idx="16">
                  <c:v>61.728</c:v>
                </c:pt>
                <c:pt idx="17">
                  <c:v>51.44</c:v>
                </c:pt>
                <c:pt idx="18">
                  <c:v>41.152</c:v>
                </c:pt>
                <c:pt idx="19">
                  <c:v>30.864</c:v>
                </c:pt>
                <c:pt idx="20">
                  <c:v>18.004</c:v>
                </c:pt>
                <c:pt idx="21">
                  <c:v>15.432</c:v>
                </c:pt>
                <c:pt idx="22">
                  <c:v>15.432</c:v>
                </c:pt>
                <c:pt idx="23">
                  <c:v>12.86</c:v>
                </c:pt>
                <c:pt idx="24">
                  <c:v>12.86</c:v>
                </c:pt>
                <c:pt idx="25">
                  <c:v>10.288</c:v>
                </c:pt>
              </c:numCache>
            </c:numRef>
          </c:yVal>
        </c:ser>
        <c:ser>
          <c:idx val="6"/>
          <c:order val="6"/>
          <c:tx>
            <c:strRef>
              <c:f>'Data 1980-2008'!$E$170</c:f>
              <c:strCache>
                <c:ptCount val="1"/>
                <c:pt idx="0">
                  <c:v>Claudette</c:v>
                </c:pt>
              </c:strCache>
            </c:strRef>
          </c:tx>
          <c:spPr>
            <a:solidFill>
              <a:srgbClr val="83caff"/>
            </a:solidFill>
            <a:ln w="25560">
              <a:solidFill>
                <a:srgbClr val="83caff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1980-2008'!$A$171:$A$215</c:f>
              <c:numCache>
                <c:formatCode>General</c:formatCode>
                <c:ptCount val="4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5.42</c:v>
                </c:pt>
                <c:pt idx="19">
                  <c:v>5.5</c:v>
                </c:pt>
                <c:pt idx="20">
                  <c:v>5.75</c:v>
                </c:pt>
                <c:pt idx="21">
                  <c:v>6</c:v>
                </c:pt>
                <c:pt idx="22">
                  <c:v>6.25</c:v>
                </c:pt>
                <c:pt idx="23">
                  <c:v>6.5</c:v>
                </c:pt>
                <c:pt idx="24">
                  <c:v>6.75</c:v>
                </c:pt>
                <c:pt idx="25">
                  <c:v>7</c:v>
                </c:pt>
                <c:pt idx="26">
                  <c:v>7.25</c:v>
                </c:pt>
                <c:pt idx="27">
                  <c:v>7.5</c:v>
                </c:pt>
                <c:pt idx="28">
                  <c:v>7.75</c:v>
                </c:pt>
                <c:pt idx="29">
                  <c:v>8</c:v>
                </c:pt>
                <c:pt idx="30">
                  <c:v>8.25</c:v>
                </c:pt>
                <c:pt idx="31">
                  <c:v>8.5</c:v>
                </c:pt>
                <c:pt idx="32">
                  <c:v>8.75</c:v>
                </c:pt>
                <c:pt idx="33">
                  <c:v>9</c:v>
                </c:pt>
                <c:pt idx="34">
                  <c:v>9.25</c:v>
                </c:pt>
                <c:pt idx="35">
                  <c:v>9.5</c:v>
                </c:pt>
                <c:pt idx="36">
                  <c:v>9.64</c:v>
                </c:pt>
                <c:pt idx="37">
                  <c:v>9.75</c:v>
                </c:pt>
                <c:pt idx="38">
                  <c:v>10</c:v>
                </c:pt>
                <c:pt idx="39">
                  <c:v>10.25</c:v>
                </c:pt>
                <c:pt idx="40">
                  <c:v>10.5</c:v>
                </c:pt>
                <c:pt idx="41">
                  <c:v>10.75</c:v>
                </c:pt>
                <c:pt idx="42">
                  <c:v>11</c:v>
                </c:pt>
                <c:pt idx="43">
                  <c:v>11.25</c:v>
                </c:pt>
                <c:pt idx="44">
                  <c:v>11.5</c:v>
                </c:pt>
              </c:numCache>
            </c:numRef>
          </c:xVal>
          <c:yVal>
            <c:numRef>
              <c:f>'Data 1980-2008'!$F$171:$F$215</c:f>
              <c:numCache>
                <c:formatCode>General</c:formatCode>
                <c:ptCount val="45"/>
                <c:pt idx="0">
                  <c:v>12.86</c:v>
                </c:pt>
                <c:pt idx="1">
                  <c:v>15.432</c:v>
                </c:pt>
                <c:pt idx="2">
                  <c:v>15.432</c:v>
                </c:pt>
                <c:pt idx="3">
                  <c:v>18.004</c:v>
                </c:pt>
                <c:pt idx="4">
                  <c:v>18.004</c:v>
                </c:pt>
                <c:pt idx="5">
                  <c:v>20.576</c:v>
                </c:pt>
                <c:pt idx="6">
                  <c:v>20.576</c:v>
                </c:pt>
                <c:pt idx="7">
                  <c:v>23.148</c:v>
                </c:pt>
                <c:pt idx="8">
                  <c:v>25.72</c:v>
                </c:pt>
                <c:pt idx="9">
                  <c:v>30.864</c:v>
                </c:pt>
                <c:pt idx="10">
                  <c:v>28.292</c:v>
                </c:pt>
                <c:pt idx="11">
                  <c:v>28.292</c:v>
                </c:pt>
                <c:pt idx="12">
                  <c:v>28.292</c:v>
                </c:pt>
                <c:pt idx="13">
                  <c:v>28.292</c:v>
                </c:pt>
                <c:pt idx="14">
                  <c:v>36.008</c:v>
                </c:pt>
                <c:pt idx="15">
                  <c:v>28.292</c:v>
                </c:pt>
                <c:pt idx="16">
                  <c:v>25.72</c:v>
                </c:pt>
                <c:pt idx="17">
                  <c:v>25.72</c:v>
                </c:pt>
                <c:pt idx="18">
                  <c:v>25.72</c:v>
                </c:pt>
                <c:pt idx="19">
                  <c:v>25.72</c:v>
                </c:pt>
                <c:pt idx="20">
                  <c:v>23.148</c:v>
                </c:pt>
                <c:pt idx="21">
                  <c:v>23.148</c:v>
                </c:pt>
                <c:pt idx="22">
                  <c:v>23.148</c:v>
                </c:pt>
                <c:pt idx="23">
                  <c:v>23.148</c:v>
                </c:pt>
                <c:pt idx="24">
                  <c:v>23.148</c:v>
                </c:pt>
                <c:pt idx="25">
                  <c:v>23.148</c:v>
                </c:pt>
                <c:pt idx="26">
                  <c:v>23.148</c:v>
                </c:pt>
                <c:pt idx="27">
                  <c:v>25.72</c:v>
                </c:pt>
                <c:pt idx="28">
                  <c:v>25.72</c:v>
                </c:pt>
                <c:pt idx="29">
                  <c:v>28.292</c:v>
                </c:pt>
                <c:pt idx="30">
                  <c:v>28.292</c:v>
                </c:pt>
                <c:pt idx="31">
                  <c:v>28.292</c:v>
                </c:pt>
                <c:pt idx="32">
                  <c:v>30.864</c:v>
                </c:pt>
                <c:pt idx="33">
                  <c:v>30.864</c:v>
                </c:pt>
                <c:pt idx="34">
                  <c:v>33.436</c:v>
                </c:pt>
                <c:pt idx="35">
                  <c:v>38.58</c:v>
                </c:pt>
                <c:pt idx="36">
                  <c:v>41.152</c:v>
                </c:pt>
                <c:pt idx="37">
                  <c:v>36.008</c:v>
                </c:pt>
                <c:pt idx="38">
                  <c:v>25.72</c:v>
                </c:pt>
                <c:pt idx="39">
                  <c:v>20.576</c:v>
                </c:pt>
                <c:pt idx="40">
                  <c:v>18.004</c:v>
                </c:pt>
                <c:pt idx="41">
                  <c:v>18.004</c:v>
                </c:pt>
                <c:pt idx="42">
                  <c:v>15.432</c:v>
                </c:pt>
                <c:pt idx="43">
                  <c:v>12.86</c:v>
                </c:pt>
                <c:pt idx="44">
                  <c:v>12.86</c:v>
                </c:pt>
              </c:numCache>
            </c:numRef>
          </c:yVal>
        </c:ser>
        <c:ser>
          <c:idx val="7"/>
          <c:order val="7"/>
          <c:tx>
            <c:strRef>
              <c:f>'Data 1980-2008'!$E$217</c:f>
              <c:strCache>
                <c:ptCount val="1"/>
                <c:pt idx="0">
                  <c:v>Rita</c:v>
                </c:pt>
              </c:strCache>
            </c:strRef>
          </c:tx>
          <c:spPr>
            <a:solidFill>
              <a:srgbClr val="314004"/>
            </a:solidFill>
            <a:ln w="25560">
              <a:solidFill>
                <a:srgbClr val="314004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1980-2008'!$A$218:$A$253</c:f>
              <c:numCache>
                <c:formatCode>General</c:formatCode>
                <c:ptCount val="3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5.13</c:v>
                </c:pt>
                <c:pt idx="18">
                  <c:v>5.25</c:v>
                </c:pt>
                <c:pt idx="19">
                  <c:v>5.5</c:v>
                </c:pt>
                <c:pt idx="20">
                  <c:v>5.75</c:v>
                </c:pt>
                <c:pt idx="21">
                  <c:v>6</c:v>
                </c:pt>
                <c:pt idx="22">
                  <c:v>6.25</c:v>
                </c:pt>
                <c:pt idx="23">
                  <c:v>6.5</c:v>
                </c:pt>
                <c:pt idx="24">
                  <c:v>6.75</c:v>
                </c:pt>
                <c:pt idx="25">
                  <c:v>7</c:v>
                </c:pt>
                <c:pt idx="26">
                  <c:v>7.25</c:v>
                </c:pt>
                <c:pt idx="27">
                  <c:v>7.3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</c:numCache>
            </c:numRef>
          </c:xVal>
          <c:yVal>
            <c:numRef>
              <c:f>'Data 1980-2008'!$F$218:$F$253</c:f>
              <c:numCache>
                <c:formatCode>General</c:formatCode>
                <c:ptCount val="36"/>
                <c:pt idx="0">
                  <c:v>12.86</c:v>
                </c:pt>
                <c:pt idx="1">
                  <c:v>12.86</c:v>
                </c:pt>
                <c:pt idx="2">
                  <c:v>15.432</c:v>
                </c:pt>
                <c:pt idx="3">
                  <c:v>18.004</c:v>
                </c:pt>
                <c:pt idx="4">
                  <c:v>23.148</c:v>
                </c:pt>
                <c:pt idx="5">
                  <c:v>25.72</c:v>
                </c:pt>
                <c:pt idx="6">
                  <c:v>28.292</c:v>
                </c:pt>
                <c:pt idx="7">
                  <c:v>30.864</c:v>
                </c:pt>
                <c:pt idx="8">
                  <c:v>30.864</c:v>
                </c:pt>
                <c:pt idx="9">
                  <c:v>30.864</c:v>
                </c:pt>
                <c:pt idx="10">
                  <c:v>36.008</c:v>
                </c:pt>
                <c:pt idx="11">
                  <c:v>43.724</c:v>
                </c:pt>
                <c:pt idx="12">
                  <c:v>48.868</c:v>
                </c:pt>
                <c:pt idx="13">
                  <c:v>56.584</c:v>
                </c:pt>
                <c:pt idx="14">
                  <c:v>61.728</c:v>
                </c:pt>
                <c:pt idx="15">
                  <c:v>74.588</c:v>
                </c:pt>
                <c:pt idx="16">
                  <c:v>77.16</c:v>
                </c:pt>
                <c:pt idx="17">
                  <c:v>79.732</c:v>
                </c:pt>
                <c:pt idx="18">
                  <c:v>79.732</c:v>
                </c:pt>
                <c:pt idx="19">
                  <c:v>72.016</c:v>
                </c:pt>
                <c:pt idx="20">
                  <c:v>64.3</c:v>
                </c:pt>
                <c:pt idx="21">
                  <c:v>61.728</c:v>
                </c:pt>
                <c:pt idx="22">
                  <c:v>59.156</c:v>
                </c:pt>
                <c:pt idx="23">
                  <c:v>59.156</c:v>
                </c:pt>
                <c:pt idx="24">
                  <c:v>56.584</c:v>
                </c:pt>
                <c:pt idx="25">
                  <c:v>54.012</c:v>
                </c:pt>
                <c:pt idx="26">
                  <c:v>51.44</c:v>
                </c:pt>
                <c:pt idx="27">
                  <c:v>51.44</c:v>
                </c:pt>
                <c:pt idx="28">
                  <c:v>33.436</c:v>
                </c:pt>
                <c:pt idx="29">
                  <c:v>23.148</c:v>
                </c:pt>
                <c:pt idx="30">
                  <c:v>18.004</c:v>
                </c:pt>
                <c:pt idx="31">
                  <c:v>15.432</c:v>
                </c:pt>
                <c:pt idx="32">
                  <c:v>12.86</c:v>
                </c:pt>
                <c:pt idx="33">
                  <c:v>12.86</c:v>
                </c:pt>
                <c:pt idx="34">
                  <c:v>10.288</c:v>
                </c:pt>
                <c:pt idx="35">
                  <c:v>10.288</c:v>
                </c:pt>
              </c:numCache>
            </c:numRef>
          </c:yVal>
        </c:ser>
        <c:ser>
          <c:idx val="8"/>
          <c:order val="8"/>
          <c:tx>
            <c:strRef>
              <c:f>'Data 1980-2008'!$E$255</c:f>
              <c:strCache>
                <c:ptCount val="1"/>
                <c:pt idx="0">
                  <c:v>Humberto</c:v>
                </c:pt>
              </c:strCache>
            </c:strRef>
          </c:tx>
          <c:spPr>
            <a:solidFill>
              <a:srgbClr val="aecf00"/>
            </a:solidFill>
            <a:ln w="25560">
              <a:solidFill>
                <a:srgbClr val="aecf00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1980-2008'!$A$256:$A$266</c:f>
              <c:numCache>
                <c:formatCode>General</c:formatCode>
                <c:ptCount val="11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2.04</c:v>
                </c:pt>
                <c:pt idx="6">
                  <c:v>2.25</c:v>
                </c:pt>
                <c:pt idx="7">
                  <c:v>2.5</c:v>
                </c:pt>
                <c:pt idx="8">
                  <c:v>2.75</c:v>
                </c:pt>
                <c:pt idx="9">
                  <c:v>3</c:v>
                </c:pt>
                <c:pt idx="10">
                  <c:v>3.25</c:v>
                </c:pt>
              </c:numCache>
            </c:numRef>
          </c:xVal>
          <c:yVal>
            <c:numRef>
              <c:f>'Data 1980-2008'!$F$256:$F$266</c:f>
              <c:numCache>
                <c:formatCode>General</c:formatCode>
                <c:ptCount val="11"/>
                <c:pt idx="0">
                  <c:v>12.86</c:v>
                </c:pt>
                <c:pt idx="1">
                  <c:v>18.004</c:v>
                </c:pt>
                <c:pt idx="2">
                  <c:v>23.148</c:v>
                </c:pt>
                <c:pt idx="3">
                  <c:v>28.292</c:v>
                </c:pt>
                <c:pt idx="4">
                  <c:v>41.152</c:v>
                </c:pt>
                <c:pt idx="5">
                  <c:v>41.152</c:v>
                </c:pt>
                <c:pt idx="6">
                  <c:v>33.436</c:v>
                </c:pt>
                <c:pt idx="7">
                  <c:v>18.004</c:v>
                </c:pt>
                <c:pt idx="8">
                  <c:v>12.86</c:v>
                </c:pt>
                <c:pt idx="9">
                  <c:v>10.288</c:v>
                </c:pt>
                <c:pt idx="10">
                  <c:v>10.288</c:v>
                </c:pt>
              </c:numCache>
            </c:numRef>
          </c:yVal>
        </c:ser>
        <c:ser>
          <c:idx val="9"/>
          <c:order val="9"/>
          <c:tx>
            <c:strRef>
              <c:f>'Data 1980-2008'!$E$268</c:f>
              <c:strCache>
                <c:ptCount val="1"/>
                <c:pt idx="0">
                  <c:v>Dolly</c:v>
                </c:pt>
              </c:strCache>
            </c:strRef>
          </c:tx>
          <c:spPr>
            <a:solidFill>
              <a:srgbClr val="4b1f6f"/>
            </a:solidFill>
            <a:ln w="25560">
              <a:solidFill>
                <a:srgbClr val="4b1f6f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1980-2008'!$A$269:$A$296</c:f>
              <c:numCache>
                <c:formatCode>General</c:formatCode>
                <c:ptCount val="2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1.72</c:v>
                </c:pt>
                <c:pt idx="4">
                  <c:v>1.75</c:v>
                </c:pt>
                <c:pt idx="5">
                  <c:v>2</c:v>
                </c:pt>
                <c:pt idx="6">
                  <c:v>2.25</c:v>
                </c:pt>
                <c:pt idx="7">
                  <c:v>2.5</c:v>
                </c:pt>
                <c:pt idx="8">
                  <c:v>2.75</c:v>
                </c:pt>
                <c:pt idx="9">
                  <c:v>3</c:v>
                </c:pt>
                <c:pt idx="10">
                  <c:v>3.25</c:v>
                </c:pt>
                <c:pt idx="11">
                  <c:v>3.5</c:v>
                </c:pt>
                <c:pt idx="12">
                  <c:v>3.75</c:v>
                </c:pt>
                <c:pt idx="13">
                  <c:v>4</c:v>
                </c:pt>
                <c:pt idx="14">
                  <c:v>4.08</c:v>
                </c:pt>
                <c:pt idx="15">
                  <c:v>4.25</c:v>
                </c:pt>
                <c:pt idx="16">
                  <c:v>4.25</c:v>
                </c:pt>
                <c:pt idx="17">
                  <c:v>4.33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</c:numCache>
            </c:numRef>
          </c:xVal>
          <c:yVal>
            <c:numRef>
              <c:f>'Data 1980-2008'!$F$269:$F$296</c:f>
              <c:numCache>
                <c:formatCode>General</c:formatCode>
                <c:ptCount val="28"/>
                <c:pt idx="0">
                  <c:v>20.576</c:v>
                </c:pt>
                <c:pt idx="1">
                  <c:v>20.576</c:v>
                </c:pt>
                <c:pt idx="2">
                  <c:v>23.148</c:v>
                </c:pt>
                <c:pt idx="3">
                  <c:v>23.148</c:v>
                </c:pt>
                <c:pt idx="4">
                  <c:v>23.148</c:v>
                </c:pt>
                <c:pt idx="5">
                  <c:v>23.148</c:v>
                </c:pt>
                <c:pt idx="6">
                  <c:v>23.148</c:v>
                </c:pt>
                <c:pt idx="7">
                  <c:v>23.148</c:v>
                </c:pt>
                <c:pt idx="8">
                  <c:v>23.148</c:v>
                </c:pt>
                <c:pt idx="9">
                  <c:v>28.292</c:v>
                </c:pt>
                <c:pt idx="10">
                  <c:v>30.864</c:v>
                </c:pt>
                <c:pt idx="11">
                  <c:v>33.436</c:v>
                </c:pt>
                <c:pt idx="12">
                  <c:v>36.008</c:v>
                </c:pt>
                <c:pt idx="13">
                  <c:v>43.724</c:v>
                </c:pt>
                <c:pt idx="14">
                  <c:v>43.724</c:v>
                </c:pt>
                <c:pt idx="15">
                  <c:v>38.58</c:v>
                </c:pt>
                <c:pt idx="16">
                  <c:v>38.58</c:v>
                </c:pt>
                <c:pt idx="17">
                  <c:v>36.008</c:v>
                </c:pt>
                <c:pt idx="18">
                  <c:v>33.436</c:v>
                </c:pt>
                <c:pt idx="19">
                  <c:v>28.292</c:v>
                </c:pt>
                <c:pt idx="20">
                  <c:v>23.148</c:v>
                </c:pt>
                <c:pt idx="21">
                  <c:v>18.004</c:v>
                </c:pt>
                <c:pt idx="22">
                  <c:v>10.288</c:v>
                </c:pt>
                <c:pt idx="23">
                  <c:v>12.86</c:v>
                </c:pt>
                <c:pt idx="24">
                  <c:v>12.86</c:v>
                </c:pt>
                <c:pt idx="25">
                  <c:v>12.86</c:v>
                </c:pt>
                <c:pt idx="26">
                  <c:v>10.288</c:v>
                </c:pt>
                <c:pt idx="27">
                  <c:v>10.288</c:v>
                </c:pt>
              </c:numCache>
            </c:numRef>
          </c:yVal>
        </c:ser>
        <c:ser>
          <c:idx val="10"/>
          <c:order val="10"/>
          <c:tx>
            <c:strRef>
              <c:f>'Data 1980-2008'!$E$301</c:f>
              <c:strCache>
                <c:ptCount val="1"/>
                <c:pt idx="0">
                  <c:v>Ike</c:v>
                </c:pt>
              </c:strCache>
            </c:strRef>
          </c:tx>
          <c:spPr>
            <a:solidFill>
              <a:srgbClr val="ff950e"/>
            </a:solidFill>
            <a:ln w="25560">
              <a:solidFill>
                <a:srgbClr val="ff950e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1980-2008'!$A$302:$A$363</c:f>
              <c:numCache>
                <c:formatCode>General</c:formatCode>
                <c:ptCount val="62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7.29</c:v>
                </c:pt>
                <c:pt idx="27">
                  <c:v>7.5</c:v>
                </c:pt>
                <c:pt idx="28">
                  <c:v>7.75</c:v>
                </c:pt>
                <c:pt idx="29">
                  <c:v>7.83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9.33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13.04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</c:numCache>
            </c:numRef>
          </c:xVal>
          <c:yVal>
            <c:numRef>
              <c:f>'Data 1980-2008'!$F$302:$F$363</c:f>
              <c:numCache>
                <c:formatCode>General</c:formatCode>
                <c:ptCount val="62"/>
                <c:pt idx="0">
                  <c:v>15.432</c:v>
                </c:pt>
                <c:pt idx="1">
                  <c:v>18.004</c:v>
                </c:pt>
                <c:pt idx="2">
                  <c:v>23.148</c:v>
                </c:pt>
                <c:pt idx="3">
                  <c:v>23.148</c:v>
                </c:pt>
                <c:pt idx="4">
                  <c:v>23.148</c:v>
                </c:pt>
                <c:pt idx="5">
                  <c:v>25.72</c:v>
                </c:pt>
                <c:pt idx="6">
                  <c:v>28.292</c:v>
                </c:pt>
                <c:pt idx="7">
                  <c:v>28.292</c:v>
                </c:pt>
                <c:pt idx="8">
                  <c:v>28.292</c:v>
                </c:pt>
                <c:pt idx="9">
                  <c:v>30.864</c:v>
                </c:pt>
                <c:pt idx="10">
                  <c:v>38.58</c:v>
                </c:pt>
                <c:pt idx="11">
                  <c:v>54.012</c:v>
                </c:pt>
                <c:pt idx="12">
                  <c:v>64.3</c:v>
                </c:pt>
                <c:pt idx="13">
                  <c:v>61.728</c:v>
                </c:pt>
                <c:pt idx="14">
                  <c:v>59.156</c:v>
                </c:pt>
                <c:pt idx="15">
                  <c:v>59.156</c:v>
                </c:pt>
                <c:pt idx="16">
                  <c:v>59.156</c:v>
                </c:pt>
                <c:pt idx="17">
                  <c:v>54.012</c:v>
                </c:pt>
                <c:pt idx="18">
                  <c:v>51.44</c:v>
                </c:pt>
                <c:pt idx="19">
                  <c:v>51.44</c:v>
                </c:pt>
                <c:pt idx="20">
                  <c:v>51.44</c:v>
                </c:pt>
                <c:pt idx="21">
                  <c:v>48.868</c:v>
                </c:pt>
                <c:pt idx="22">
                  <c:v>59.156</c:v>
                </c:pt>
                <c:pt idx="23">
                  <c:v>59.156</c:v>
                </c:pt>
                <c:pt idx="24">
                  <c:v>59.156</c:v>
                </c:pt>
                <c:pt idx="25">
                  <c:v>56.584</c:v>
                </c:pt>
                <c:pt idx="26">
                  <c:v>56.584</c:v>
                </c:pt>
                <c:pt idx="27">
                  <c:v>54.012</c:v>
                </c:pt>
                <c:pt idx="28">
                  <c:v>59.156</c:v>
                </c:pt>
                <c:pt idx="29">
                  <c:v>59.156</c:v>
                </c:pt>
                <c:pt idx="30">
                  <c:v>51.44</c:v>
                </c:pt>
                <c:pt idx="31">
                  <c:v>43.724</c:v>
                </c:pt>
                <c:pt idx="32">
                  <c:v>38.58</c:v>
                </c:pt>
                <c:pt idx="33">
                  <c:v>36.008</c:v>
                </c:pt>
                <c:pt idx="34">
                  <c:v>36.008</c:v>
                </c:pt>
                <c:pt idx="35">
                  <c:v>36.008</c:v>
                </c:pt>
                <c:pt idx="36">
                  <c:v>36.008</c:v>
                </c:pt>
                <c:pt idx="37">
                  <c:v>33.436</c:v>
                </c:pt>
                <c:pt idx="38">
                  <c:v>33.436</c:v>
                </c:pt>
                <c:pt idx="39">
                  <c:v>36.008</c:v>
                </c:pt>
                <c:pt idx="40">
                  <c:v>41.152</c:v>
                </c:pt>
                <c:pt idx="41">
                  <c:v>43.724</c:v>
                </c:pt>
                <c:pt idx="42">
                  <c:v>43.724</c:v>
                </c:pt>
                <c:pt idx="43">
                  <c:v>43.724</c:v>
                </c:pt>
                <c:pt idx="44">
                  <c:v>43.724</c:v>
                </c:pt>
                <c:pt idx="45">
                  <c:v>43.724</c:v>
                </c:pt>
                <c:pt idx="46">
                  <c:v>43.724</c:v>
                </c:pt>
                <c:pt idx="47">
                  <c:v>46.296</c:v>
                </c:pt>
                <c:pt idx="48">
                  <c:v>48.868</c:v>
                </c:pt>
                <c:pt idx="49">
                  <c:v>48.868</c:v>
                </c:pt>
                <c:pt idx="50">
                  <c:v>48.868</c:v>
                </c:pt>
                <c:pt idx="51">
                  <c:v>48.868</c:v>
                </c:pt>
                <c:pt idx="52">
                  <c:v>48.868</c:v>
                </c:pt>
                <c:pt idx="53">
                  <c:v>43.724</c:v>
                </c:pt>
                <c:pt idx="54">
                  <c:v>25.72</c:v>
                </c:pt>
                <c:pt idx="55">
                  <c:v>18.004</c:v>
                </c:pt>
                <c:pt idx="56">
                  <c:v>18.004</c:v>
                </c:pt>
                <c:pt idx="57">
                  <c:v>20.576</c:v>
                </c:pt>
                <c:pt idx="58">
                  <c:v>25.72</c:v>
                </c:pt>
                <c:pt idx="59">
                  <c:v>25.72</c:v>
                </c:pt>
                <c:pt idx="60">
                  <c:v>20.576</c:v>
                </c:pt>
                <c:pt idx="61">
                  <c:v>18.004</c:v>
                </c:pt>
              </c:numCache>
            </c:numRef>
          </c:yVal>
        </c:ser>
        <c:axId val="83299323"/>
        <c:axId val="39748867"/>
      </c:scatterChart>
      <c:valAx>
        <c:axId val="83299323"/>
        <c:scaling>
          <c:orientation val="minMax"/>
          <c:max val="16"/>
          <c:min val="0"/>
        </c:scaling>
        <c:delete val="0"/>
        <c:axPos val="b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Days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39748867"/>
        <c:crossesAt val="0"/>
        <c:majorUnit val="1"/>
        <c:minorUnit val="1"/>
      </c:valAx>
      <c:valAx>
        <c:axId val="39748867"/>
        <c:scaling>
          <c:orientation val="minMax"/>
        </c:scaling>
        <c:delete val="0"/>
        <c:axPos val="l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Speed (meters/sec)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83299323"/>
        <c:crossesAt val="0"/>
      </c:valAx>
      <c:spPr>
        <a:noFill/>
        <a:ln w="3240">
          <a:solidFill>
            <a:srgbClr val="b3b3b3"/>
          </a:solidFill>
          <a:round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b="1" sz="1000">
                <a:solidFill>
                  <a:srgbClr val="003300"/>
                </a:solidFill>
                <a:latin typeface="宋体"/>
                <a:ea typeface="宋体"/>
              </a:rPr>
              <a:t>Pressure Comparison(1980-2008)</a:t>
            </a:r>
          </a:p>
        </c:rich>
      </c:tx>
      <c:layout/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'Data 1980-2008'!$C$3</c:f>
              <c:strCache>
                <c:ptCount val="1"/>
                <c:pt idx="0">
                  <c:v>Allen</c:v>
                </c:pt>
              </c:strCache>
            </c:strRef>
          </c:tx>
          <c:spPr>
            <a:solidFill>
              <a:srgbClr val="c5000b"/>
            </a:solidFill>
            <a:ln w="25560">
              <a:solidFill>
                <a:srgbClr val="c5000b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1980-2008'!$K$6:$K$49</c:f>
              <c:numCache>
                <c:formatCode>General</c:formatCode>
                <c:ptCount val="44"/>
                <c:pt idx="0">
                  <c:v>-6.75</c:v>
                </c:pt>
                <c:pt idx="1">
                  <c:v>-6.5</c:v>
                </c:pt>
                <c:pt idx="2">
                  <c:v>-6.25</c:v>
                </c:pt>
                <c:pt idx="3">
                  <c:v>-6</c:v>
                </c:pt>
                <c:pt idx="4">
                  <c:v>-5.75</c:v>
                </c:pt>
                <c:pt idx="5">
                  <c:v>-5.5</c:v>
                </c:pt>
                <c:pt idx="6">
                  <c:v>-5.25</c:v>
                </c:pt>
                <c:pt idx="7">
                  <c:v>-5</c:v>
                </c:pt>
                <c:pt idx="8">
                  <c:v>-4.75</c:v>
                </c:pt>
                <c:pt idx="9">
                  <c:v>-4.5</c:v>
                </c:pt>
                <c:pt idx="10">
                  <c:v>-4.25</c:v>
                </c:pt>
                <c:pt idx="11">
                  <c:v>-4</c:v>
                </c:pt>
                <c:pt idx="12">
                  <c:v>-3.75</c:v>
                </c:pt>
                <c:pt idx="13">
                  <c:v>-3.5</c:v>
                </c:pt>
                <c:pt idx="14">
                  <c:v>-3.25</c:v>
                </c:pt>
                <c:pt idx="15">
                  <c:v>-3</c:v>
                </c:pt>
                <c:pt idx="16">
                  <c:v>-2.75</c:v>
                </c:pt>
                <c:pt idx="17">
                  <c:v>-2.5</c:v>
                </c:pt>
                <c:pt idx="18">
                  <c:v>-2.25</c:v>
                </c:pt>
                <c:pt idx="19">
                  <c:v>-2</c:v>
                </c:pt>
                <c:pt idx="20">
                  <c:v>-1.75</c:v>
                </c:pt>
                <c:pt idx="21">
                  <c:v>-1.5</c:v>
                </c:pt>
                <c:pt idx="22">
                  <c:v>-1.25</c:v>
                </c:pt>
                <c:pt idx="23">
                  <c:v>-1</c:v>
                </c:pt>
                <c:pt idx="24">
                  <c:v>-0.75</c:v>
                </c:pt>
                <c:pt idx="25">
                  <c:v>-0.5</c:v>
                </c:pt>
                <c:pt idx="26">
                  <c:v>-0.25</c:v>
                </c:pt>
                <c:pt idx="27">
                  <c:v>0</c:v>
                </c:pt>
                <c:pt idx="28">
                  <c:v>0.25</c:v>
                </c:pt>
                <c:pt idx="29">
                  <c:v>0.5</c:v>
                </c:pt>
                <c:pt idx="30">
                  <c:v>0.75</c:v>
                </c:pt>
                <c:pt idx="31">
                  <c:v>1</c:v>
                </c:pt>
                <c:pt idx="32">
                  <c:v>1.25</c:v>
                </c:pt>
                <c:pt idx="33">
                  <c:v>1.5</c:v>
                </c:pt>
                <c:pt idx="34">
                  <c:v>1.75</c:v>
                </c:pt>
                <c:pt idx="35">
                  <c:v>2</c:v>
                </c:pt>
                <c:pt idx="36">
                  <c:v>2.25</c:v>
                </c:pt>
                <c:pt idx="37">
                  <c:v>2.5</c:v>
                </c:pt>
                <c:pt idx="38">
                  <c:v>2.75</c:v>
                </c:pt>
                <c:pt idx="39">
                  <c:v>3</c:v>
                </c:pt>
                <c:pt idx="40">
                  <c:v>3.25</c:v>
                </c:pt>
                <c:pt idx="41">
                  <c:v>3.5</c:v>
                </c:pt>
                <c:pt idx="42">
                  <c:v>3.75</c:v>
                </c:pt>
                <c:pt idx="43">
                  <c:v>4</c:v>
                </c:pt>
              </c:numCache>
            </c:numRef>
          </c:xVal>
          <c:yVal>
            <c:numRef>
              <c:f>'Data 1980-2008'!$I$6:$I$49</c:f>
              <c:numCache>
                <c:formatCode>General</c:formatCode>
                <c:ptCount val="44"/>
                <c:pt idx="0">
                  <c:v>1010</c:v>
                </c:pt>
                <c:pt idx="1">
                  <c:v>1009</c:v>
                </c:pt>
                <c:pt idx="2">
                  <c:v>1008</c:v>
                </c:pt>
                <c:pt idx="3">
                  <c:v>1006</c:v>
                </c:pt>
                <c:pt idx="4">
                  <c:v>1005</c:v>
                </c:pt>
                <c:pt idx="5">
                  <c:v>1000</c:v>
                </c:pt>
                <c:pt idx="6">
                  <c:v>995</c:v>
                </c:pt>
                <c:pt idx="7">
                  <c:v>990</c:v>
                </c:pt>
                <c:pt idx="8">
                  <c:v>985</c:v>
                </c:pt>
                <c:pt idx="9">
                  <c:v>980</c:v>
                </c:pt>
                <c:pt idx="10">
                  <c:v>975</c:v>
                </c:pt>
                <c:pt idx="11">
                  <c:v>965</c:v>
                </c:pt>
                <c:pt idx="12">
                  <c:v>950</c:v>
                </c:pt>
                <c:pt idx="13">
                  <c:v>948</c:v>
                </c:pt>
                <c:pt idx="14">
                  <c:v>945</c:v>
                </c:pt>
                <c:pt idx="15">
                  <c:v>930</c:v>
                </c:pt>
                <c:pt idx="16">
                  <c:v>911</c:v>
                </c:pt>
                <c:pt idx="17">
                  <c:v>916</c:v>
                </c:pt>
                <c:pt idx="18">
                  <c:v>932</c:v>
                </c:pt>
                <c:pt idx="19">
                  <c:v>940</c:v>
                </c:pt>
                <c:pt idx="20">
                  <c:v>945</c:v>
                </c:pt>
                <c:pt idx="21">
                  <c:v>955</c:v>
                </c:pt>
                <c:pt idx="22">
                  <c:v>955</c:v>
                </c:pt>
                <c:pt idx="23">
                  <c:v>955</c:v>
                </c:pt>
                <c:pt idx="24">
                  <c:v>945</c:v>
                </c:pt>
                <c:pt idx="25">
                  <c:v>935</c:v>
                </c:pt>
                <c:pt idx="26">
                  <c:v>910</c:v>
                </c:pt>
                <c:pt idx="27">
                  <c:v>899</c:v>
                </c:pt>
                <c:pt idx="28">
                  <c:v>920</c:v>
                </c:pt>
                <c:pt idx="29">
                  <c:v>945</c:v>
                </c:pt>
                <c:pt idx="30">
                  <c:v>960</c:v>
                </c:pt>
                <c:pt idx="31">
                  <c:v>940</c:v>
                </c:pt>
                <c:pt idx="32">
                  <c:v>912</c:v>
                </c:pt>
                <c:pt idx="33">
                  <c:v>909</c:v>
                </c:pt>
                <c:pt idx="34">
                  <c:v>916</c:v>
                </c:pt>
                <c:pt idx="35">
                  <c:v>925</c:v>
                </c:pt>
                <c:pt idx="36">
                  <c:v>935</c:v>
                </c:pt>
                <c:pt idx="37">
                  <c:v>945</c:v>
                </c:pt>
                <c:pt idx="38">
                  <c:v>960</c:v>
                </c:pt>
                <c:pt idx="39">
                  <c:v>970</c:v>
                </c:pt>
                <c:pt idx="40">
                  <c:v>990</c:v>
                </c:pt>
                <c:pt idx="41">
                  <c:v>1000</c:v>
                </c:pt>
                <c:pt idx="42">
                  <c:v>1005</c:v>
                </c:pt>
                <c:pt idx="43">
                  <c:v>1008</c:v>
                </c:pt>
              </c:numCache>
            </c:numRef>
          </c:yVal>
        </c:ser>
        <c:ser>
          <c:idx val="1"/>
          <c:order val="1"/>
          <c:tx>
            <c:strRef>
              <c:f>'Data 1980-2008'!$C$52</c:f>
              <c:strCache>
                <c:ptCount val="1"/>
                <c:pt idx="0">
                  <c:v>Alicia</c:v>
                </c:pt>
              </c:strCache>
            </c:strRef>
          </c:tx>
          <c:spPr>
            <a:solidFill>
              <a:srgbClr val="004586"/>
            </a:solidFill>
            <a:ln w="25560">
              <a:solidFill>
                <a:srgbClr val="004586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1980-2008'!$K$53:$K$76</c:f>
              <c:numCache>
                <c:formatCode>General</c:formatCode>
                <c:ptCount val="24"/>
                <c:pt idx="0">
                  <c:v>-2.75</c:v>
                </c:pt>
                <c:pt idx="1">
                  <c:v>-2.5</c:v>
                </c:pt>
                <c:pt idx="2">
                  <c:v>-2.25</c:v>
                </c:pt>
                <c:pt idx="3">
                  <c:v>-2</c:v>
                </c:pt>
                <c:pt idx="4">
                  <c:v>-1.75</c:v>
                </c:pt>
                <c:pt idx="5">
                  <c:v>-1.5</c:v>
                </c:pt>
                <c:pt idx="6">
                  <c:v>-1.25</c:v>
                </c:pt>
                <c:pt idx="7">
                  <c:v>-1</c:v>
                </c:pt>
                <c:pt idx="8">
                  <c:v>-0.75</c:v>
                </c:pt>
                <c:pt idx="9">
                  <c:v>-0.5</c:v>
                </c:pt>
                <c:pt idx="10">
                  <c:v>-0.25</c:v>
                </c:pt>
                <c:pt idx="11">
                  <c:v>0</c:v>
                </c:pt>
                <c:pt idx="12">
                  <c:v>0.04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  <c:pt idx="20">
                  <c:v>2</c:v>
                </c:pt>
                <c:pt idx="21">
                  <c:v>2.25</c:v>
                </c:pt>
                <c:pt idx="22">
                  <c:v>2.5</c:v>
                </c:pt>
                <c:pt idx="23">
                  <c:v>2.75</c:v>
                </c:pt>
              </c:numCache>
            </c:numRef>
          </c:xVal>
          <c:yVal>
            <c:numRef>
              <c:f>'Data 1980-2008'!$I$53:$I$76</c:f>
              <c:numCache>
                <c:formatCode>General</c:formatCode>
                <c:ptCount val="24"/>
                <c:pt idx="0">
                  <c:v>1009</c:v>
                </c:pt>
                <c:pt idx="1">
                  <c:v>1006</c:v>
                </c:pt>
                <c:pt idx="2">
                  <c:v>1005</c:v>
                </c:pt>
                <c:pt idx="3">
                  <c:v>1004</c:v>
                </c:pt>
                <c:pt idx="4">
                  <c:v>1002</c:v>
                </c:pt>
                <c:pt idx="5">
                  <c:v>998</c:v>
                </c:pt>
                <c:pt idx="6">
                  <c:v>991</c:v>
                </c:pt>
                <c:pt idx="7">
                  <c:v>987</c:v>
                </c:pt>
                <c:pt idx="8">
                  <c:v>983</c:v>
                </c:pt>
                <c:pt idx="9">
                  <c:v>974</c:v>
                </c:pt>
                <c:pt idx="10">
                  <c:v>969</c:v>
                </c:pt>
                <c:pt idx="11">
                  <c:v>963</c:v>
                </c:pt>
                <c:pt idx="12">
                  <c:v>965</c:v>
                </c:pt>
                <c:pt idx="13">
                  <c:v>990</c:v>
                </c:pt>
                <c:pt idx="14">
                  <c:v>998</c:v>
                </c:pt>
                <c:pt idx="15">
                  <c:v>1003</c:v>
                </c:pt>
                <c:pt idx="16">
                  <c:v>1006</c:v>
                </c:pt>
                <c:pt idx="17">
                  <c:v>1009</c:v>
                </c:pt>
                <c:pt idx="18">
                  <c:v>1010</c:v>
                </c:pt>
                <c:pt idx="19">
                  <c:v>1011</c:v>
                </c:pt>
                <c:pt idx="20">
                  <c:v>1011</c:v>
                </c:pt>
                <c:pt idx="21">
                  <c:v>1011</c:v>
                </c:pt>
                <c:pt idx="22">
                  <c:v>1010</c:v>
                </c:pt>
                <c:pt idx="23">
                  <c:v>1010</c:v>
                </c:pt>
              </c:numCache>
            </c:numRef>
          </c:yVal>
        </c:ser>
        <c:ser>
          <c:idx val="2"/>
          <c:order val="2"/>
          <c:tx>
            <c:strRef>
              <c:f>'Data 1980-2008'!$C$79</c:f>
              <c:strCache>
                <c:ptCount val="1"/>
                <c:pt idx="0">
                  <c:v>Bonnie</c:v>
                </c:pt>
              </c:strCache>
            </c:strRef>
          </c:tx>
          <c:spPr>
            <a:solidFill>
              <a:srgbClr val="ff420e"/>
            </a:solidFill>
            <a:ln w="25560">
              <a:solidFill>
                <a:srgbClr val="ff420e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1980-2008'!$K$80:$K$99</c:f>
              <c:numCache>
                <c:formatCode>General</c:formatCode>
                <c:ptCount val="20"/>
                <c:pt idx="0">
                  <c:v>-2.67</c:v>
                </c:pt>
                <c:pt idx="1">
                  <c:v>-2.42</c:v>
                </c:pt>
                <c:pt idx="2">
                  <c:v>-2.17</c:v>
                </c:pt>
                <c:pt idx="3">
                  <c:v>-1.92</c:v>
                </c:pt>
                <c:pt idx="4">
                  <c:v>-1.67</c:v>
                </c:pt>
                <c:pt idx="5">
                  <c:v>-1.42</c:v>
                </c:pt>
                <c:pt idx="6">
                  <c:v>-1.17</c:v>
                </c:pt>
                <c:pt idx="7">
                  <c:v>-0.92</c:v>
                </c:pt>
                <c:pt idx="8">
                  <c:v>-0.67</c:v>
                </c:pt>
                <c:pt idx="9">
                  <c:v>-0.42</c:v>
                </c:pt>
                <c:pt idx="10">
                  <c:v>-0.17</c:v>
                </c:pt>
                <c:pt idx="11">
                  <c:v>0</c:v>
                </c:pt>
                <c:pt idx="12">
                  <c:v>0.0800000000000001</c:v>
                </c:pt>
                <c:pt idx="13">
                  <c:v>0.33</c:v>
                </c:pt>
                <c:pt idx="14">
                  <c:v>0.58</c:v>
                </c:pt>
                <c:pt idx="15">
                  <c:v>0.83</c:v>
                </c:pt>
                <c:pt idx="16">
                  <c:v>1.08</c:v>
                </c:pt>
                <c:pt idx="17">
                  <c:v>1.33</c:v>
                </c:pt>
                <c:pt idx="18">
                  <c:v>1.58</c:v>
                </c:pt>
                <c:pt idx="19">
                  <c:v>1.83</c:v>
                </c:pt>
              </c:numCache>
            </c:numRef>
          </c:xVal>
          <c:yVal>
            <c:numRef>
              <c:f>'Data 1980-2008'!$I$80:$I$99</c:f>
              <c:numCache>
                <c:formatCode>General</c:formatCode>
                <c:ptCount val="20"/>
                <c:pt idx="0">
                  <c:v>1014</c:v>
                </c:pt>
                <c:pt idx="1">
                  <c:v>1013</c:v>
                </c:pt>
                <c:pt idx="2">
                  <c:v>1014</c:v>
                </c:pt>
                <c:pt idx="3">
                  <c:v>1011</c:v>
                </c:pt>
                <c:pt idx="4">
                  <c:v>1006</c:v>
                </c:pt>
                <c:pt idx="5">
                  <c:v>1001</c:v>
                </c:pt>
                <c:pt idx="6">
                  <c:v>1002</c:v>
                </c:pt>
                <c:pt idx="7">
                  <c:v>997</c:v>
                </c:pt>
                <c:pt idx="8">
                  <c:v>1001</c:v>
                </c:pt>
                <c:pt idx="9">
                  <c:v>999</c:v>
                </c:pt>
                <c:pt idx="10">
                  <c:v>995</c:v>
                </c:pt>
                <c:pt idx="11">
                  <c:v>992</c:v>
                </c:pt>
                <c:pt idx="12">
                  <c:v>1000</c:v>
                </c:pt>
                <c:pt idx="13">
                  <c:v>1009</c:v>
                </c:pt>
                <c:pt idx="14">
                  <c:v>1015</c:v>
                </c:pt>
                <c:pt idx="15">
                  <c:v>1016</c:v>
                </c:pt>
                <c:pt idx="16">
                  <c:v>1016</c:v>
                </c:pt>
                <c:pt idx="17">
                  <c:v>1014</c:v>
                </c:pt>
                <c:pt idx="18">
                  <c:v>1013</c:v>
                </c:pt>
                <c:pt idx="19">
                  <c:v>1012</c:v>
                </c:pt>
              </c:numCache>
            </c:numRef>
          </c:yVal>
        </c:ser>
        <c:ser>
          <c:idx val="3"/>
          <c:order val="3"/>
          <c:tx>
            <c:strRef>
              <c:f>'Data 1980-2008'!$E$102</c:f>
              <c:strCache>
                <c:ptCount val="1"/>
                <c:pt idx="0">
                  <c:v>Chantal</c:v>
                </c:pt>
              </c:strCache>
            </c:strRef>
          </c:tx>
          <c:spPr>
            <a:solidFill>
              <a:srgbClr val="ffd320"/>
            </a:solidFill>
            <a:ln w="25560">
              <a:solidFill>
                <a:srgbClr val="ffd320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1980-2008'!$K$103:$K$117</c:f>
              <c:numCache>
                <c:formatCode>General</c:formatCode>
                <c:ptCount val="15"/>
                <c:pt idx="0">
                  <c:v>-2</c:v>
                </c:pt>
                <c:pt idx="1">
                  <c:v>-1.75</c:v>
                </c:pt>
                <c:pt idx="2">
                  <c:v>-1.5</c:v>
                </c:pt>
                <c:pt idx="3">
                  <c:v>-1.25</c:v>
                </c:pt>
                <c:pt idx="4">
                  <c:v>-1</c:v>
                </c:pt>
                <c:pt idx="5">
                  <c:v>-0.75</c:v>
                </c:pt>
                <c:pt idx="6">
                  <c:v>-0.5</c:v>
                </c:pt>
                <c:pt idx="7">
                  <c:v>-0.25</c:v>
                </c:pt>
                <c:pt idx="8">
                  <c:v>0</c:v>
                </c:pt>
                <c:pt idx="9">
                  <c:v>0.04</c:v>
                </c:pt>
                <c:pt idx="10">
                  <c:v>0.25</c:v>
                </c:pt>
                <c:pt idx="11">
                  <c:v>0.5</c:v>
                </c:pt>
                <c:pt idx="12">
                  <c:v>0.75</c:v>
                </c:pt>
                <c:pt idx="13">
                  <c:v>1</c:v>
                </c:pt>
                <c:pt idx="14">
                  <c:v>1.25</c:v>
                </c:pt>
              </c:numCache>
            </c:numRef>
          </c:xVal>
          <c:yVal>
            <c:numRef>
              <c:f>'Data 1980-2008'!$I$103:$I$117</c:f>
              <c:numCache>
                <c:formatCode>General</c:formatCode>
                <c:ptCount val="15"/>
                <c:pt idx="0">
                  <c:v>1011</c:v>
                </c:pt>
                <c:pt idx="1">
                  <c:v>1010</c:v>
                </c:pt>
                <c:pt idx="2">
                  <c:v>1009</c:v>
                </c:pt>
                <c:pt idx="3">
                  <c:v>1004</c:v>
                </c:pt>
                <c:pt idx="4">
                  <c:v>995</c:v>
                </c:pt>
                <c:pt idx="5">
                  <c:v>993</c:v>
                </c:pt>
                <c:pt idx="6">
                  <c:v>991</c:v>
                </c:pt>
                <c:pt idx="7">
                  <c:v>987</c:v>
                </c:pt>
                <c:pt idx="8">
                  <c:v>984</c:v>
                </c:pt>
                <c:pt idx="9">
                  <c:v>993</c:v>
                </c:pt>
                <c:pt idx="10">
                  <c:v>1000</c:v>
                </c:pt>
                <c:pt idx="11">
                  <c:v>1004</c:v>
                </c:pt>
                <c:pt idx="12">
                  <c:v>1007</c:v>
                </c:pt>
                <c:pt idx="13">
                  <c:v>1008</c:v>
                </c:pt>
                <c:pt idx="14">
                  <c:v>1009</c:v>
                </c:pt>
              </c:numCache>
            </c:numRef>
          </c:yVal>
        </c:ser>
        <c:ser>
          <c:idx val="4"/>
          <c:order val="4"/>
          <c:tx>
            <c:strRef>
              <c:f>'Data 1980-2008'!$E$120</c:f>
              <c:strCache>
                <c:ptCount val="1"/>
                <c:pt idx="0">
                  <c:v>Jerry</c:v>
                </c:pt>
              </c:strCache>
            </c:strRef>
          </c:tx>
          <c:spPr>
            <a:solidFill>
              <a:srgbClr val="579d1c"/>
            </a:solidFill>
            <a:ln w="25560">
              <a:solidFill>
                <a:srgbClr val="579d1c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1980-2008'!$K$121:$K$138</c:f>
              <c:numCache>
                <c:formatCode>General</c:formatCode>
                <c:ptCount val="18"/>
                <c:pt idx="0">
                  <c:v>-3.38</c:v>
                </c:pt>
                <c:pt idx="1">
                  <c:v>-3.13</c:v>
                </c:pt>
                <c:pt idx="2">
                  <c:v>-2.88</c:v>
                </c:pt>
                <c:pt idx="3">
                  <c:v>-2.63</c:v>
                </c:pt>
                <c:pt idx="4">
                  <c:v>-2.38</c:v>
                </c:pt>
                <c:pt idx="5">
                  <c:v>-2.13</c:v>
                </c:pt>
                <c:pt idx="6">
                  <c:v>-1.88</c:v>
                </c:pt>
                <c:pt idx="7">
                  <c:v>-1.63</c:v>
                </c:pt>
                <c:pt idx="8">
                  <c:v>-1.38</c:v>
                </c:pt>
                <c:pt idx="9">
                  <c:v>-1.13</c:v>
                </c:pt>
                <c:pt idx="10">
                  <c:v>-0.88</c:v>
                </c:pt>
                <c:pt idx="11">
                  <c:v>-0.63</c:v>
                </c:pt>
                <c:pt idx="12">
                  <c:v>-0.38</c:v>
                </c:pt>
                <c:pt idx="13">
                  <c:v>-0.13</c:v>
                </c:pt>
                <c:pt idx="14">
                  <c:v>0</c:v>
                </c:pt>
                <c:pt idx="15">
                  <c:v>0.12</c:v>
                </c:pt>
                <c:pt idx="16">
                  <c:v>0.13</c:v>
                </c:pt>
                <c:pt idx="17">
                  <c:v>0.37</c:v>
                </c:pt>
              </c:numCache>
            </c:numRef>
          </c:xVal>
          <c:yVal>
            <c:numRef>
              <c:f>'Data 1980-2008'!$I$121:$I$138</c:f>
              <c:numCache>
                <c:formatCode>General</c:formatCode>
                <c:ptCount val="18"/>
                <c:pt idx="0">
                  <c:v>1009</c:v>
                </c:pt>
                <c:pt idx="1">
                  <c:v>1006</c:v>
                </c:pt>
                <c:pt idx="2">
                  <c:v>1004</c:v>
                </c:pt>
                <c:pt idx="3">
                  <c:v>1001</c:v>
                </c:pt>
                <c:pt idx="4">
                  <c:v>997</c:v>
                </c:pt>
                <c:pt idx="5">
                  <c:v>995</c:v>
                </c:pt>
                <c:pt idx="6">
                  <c:v>991</c:v>
                </c:pt>
                <c:pt idx="7">
                  <c:v>992</c:v>
                </c:pt>
                <c:pt idx="8">
                  <c:v>992</c:v>
                </c:pt>
                <c:pt idx="9">
                  <c:v>994</c:v>
                </c:pt>
                <c:pt idx="10">
                  <c:v>994</c:v>
                </c:pt>
                <c:pt idx="11">
                  <c:v>994</c:v>
                </c:pt>
                <c:pt idx="12">
                  <c:v>991</c:v>
                </c:pt>
                <c:pt idx="13">
                  <c:v>986</c:v>
                </c:pt>
                <c:pt idx="14">
                  <c:v>983</c:v>
                </c:pt>
                <c:pt idx="15">
                  <c:v>991</c:v>
                </c:pt>
                <c:pt idx="16">
                  <c:v>1000</c:v>
                </c:pt>
                <c:pt idx="17">
                  <c:v>1009</c:v>
                </c:pt>
              </c:numCache>
            </c:numRef>
          </c:yVal>
        </c:ser>
        <c:ser>
          <c:idx val="5"/>
          <c:order val="5"/>
          <c:tx>
            <c:strRef>
              <c:f>'Data 1980-2008'!$E$142</c:f>
              <c:strCache>
                <c:ptCount val="1"/>
                <c:pt idx="0">
                  <c:v>Bret</c:v>
                </c:pt>
              </c:strCache>
            </c:strRef>
          </c:tx>
          <c:spPr>
            <a:solidFill>
              <a:srgbClr val="7e0021"/>
            </a:solidFill>
            <a:ln w="25560">
              <a:solidFill>
                <a:srgbClr val="7e0021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1980-2008'!$K$143:$K$168</c:f>
              <c:numCache>
                <c:formatCode>General</c:formatCode>
                <c:ptCount val="26"/>
                <c:pt idx="0">
                  <c:v>-3.75</c:v>
                </c:pt>
                <c:pt idx="1">
                  <c:v>-3.5</c:v>
                </c:pt>
                <c:pt idx="2">
                  <c:v>-3.25</c:v>
                </c:pt>
                <c:pt idx="3">
                  <c:v>-3</c:v>
                </c:pt>
                <c:pt idx="4">
                  <c:v>-2.75</c:v>
                </c:pt>
                <c:pt idx="5">
                  <c:v>-2.5</c:v>
                </c:pt>
                <c:pt idx="6">
                  <c:v>-2.25</c:v>
                </c:pt>
                <c:pt idx="7">
                  <c:v>-2</c:v>
                </c:pt>
                <c:pt idx="8">
                  <c:v>-1.75</c:v>
                </c:pt>
                <c:pt idx="9">
                  <c:v>-1.5</c:v>
                </c:pt>
                <c:pt idx="10">
                  <c:v>-1.25</c:v>
                </c:pt>
                <c:pt idx="11">
                  <c:v>-1</c:v>
                </c:pt>
                <c:pt idx="12">
                  <c:v>-0.75</c:v>
                </c:pt>
                <c:pt idx="13">
                  <c:v>-0.5</c:v>
                </c:pt>
                <c:pt idx="14">
                  <c:v>-0.25</c:v>
                </c:pt>
                <c:pt idx="15">
                  <c:v>0</c:v>
                </c:pt>
                <c:pt idx="16">
                  <c:v>0.25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1.25</c:v>
                </c:pt>
                <c:pt idx="21">
                  <c:v>1.5</c:v>
                </c:pt>
                <c:pt idx="22">
                  <c:v>1.75</c:v>
                </c:pt>
                <c:pt idx="23">
                  <c:v>2</c:v>
                </c:pt>
                <c:pt idx="24">
                  <c:v>2.25</c:v>
                </c:pt>
                <c:pt idx="25">
                  <c:v>2.5</c:v>
                </c:pt>
              </c:numCache>
            </c:numRef>
          </c:xVal>
          <c:yVal>
            <c:numRef>
              <c:f>'Data 1980-2008'!$I$143:$I$168</c:f>
              <c:numCache>
                <c:formatCode>General</c:formatCode>
                <c:ptCount val="26"/>
                <c:pt idx="0">
                  <c:v>1010</c:v>
                </c:pt>
                <c:pt idx="1">
                  <c:v>1008</c:v>
                </c:pt>
                <c:pt idx="2">
                  <c:v>1008</c:v>
                </c:pt>
                <c:pt idx="3">
                  <c:v>1008</c:v>
                </c:pt>
                <c:pt idx="4">
                  <c:v>1005</c:v>
                </c:pt>
                <c:pt idx="5">
                  <c:v>1000</c:v>
                </c:pt>
                <c:pt idx="6">
                  <c:v>998</c:v>
                </c:pt>
                <c:pt idx="7">
                  <c:v>993</c:v>
                </c:pt>
                <c:pt idx="8">
                  <c:v>991</c:v>
                </c:pt>
                <c:pt idx="9">
                  <c:v>983</c:v>
                </c:pt>
                <c:pt idx="10">
                  <c:v>980</c:v>
                </c:pt>
                <c:pt idx="11">
                  <c:v>979</c:v>
                </c:pt>
                <c:pt idx="12">
                  <c:v>975</c:v>
                </c:pt>
                <c:pt idx="13">
                  <c:v>954</c:v>
                </c:pt>
                <c:pt idx="14">
                  <c:v>950</c:v>
                </c:pt>
                <c:pt idx="15">
                  <c:v>944</c:v>
                </c:pt>
                <c:pt idx="16">
                  <c:v>946</c:v>
                </c:pt>
                <c:pt idx="17">
                  <c:v>951</c:v>
                </c:pt>
                <c:pt idx="18">
                  <c:v>963</c:v>
                </c:pt>
                <c:pt idx="19">
                  <c:v>980</c:v>
                </c:pt>
                <c:pt idx="20">
                  <c:v>993</c:v>
                </c:pt>
                <c:pt idx="21">
                  <c:v>1000</c:v>
                </c:pt>
                <c:pt idx="22">
                  <c:v>1003</c:v>
                </c:pt>
                <c:pt idx="23">
                  <c:v>1006</c:v>
                </c:pt>
                <c:pt idx="24">
                  <c:v>1007</c:v>
                </c:pt>
                <c:pt idx="25">
                  <c:v>1008</c:v>
                </c:pt>
              </c:numCache>
            </c:numRef>
          </c:yVal>
        </c:ser>
        <c:ser>
          <c:idx val="6"/>
          <c:order val="6"/>
          <c:tx>
            <c:strRef>
              <c:f>'Data 1980-2008'!$E$170</c:f>
              <c:strCache>
                <c:ptCount val="1"/>
                <c:pt idx="0">
                  <c:v>Claudette</c:v>
                </c:pt>
              </c:strCache>
            </c:strRef>
          </c:tx>
          <c:spPr>
            <a:solidFill>
              <a:srgbClr val="83caff"/>
            </a:solidFill>
            <a:ln w="25560">
              <a:solidFill>
                <a:srgbClr val="83caff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1980-2008'!$K$171:$K$215</c:f>
              <c:numCache>
                <c:formatCode>General</c:formatCode>
                <c:ptCount val="45"/>
                <c:pt idx="0">
                  <c:v>-8.64</c:v>
                </c:pt>
                <c:pt idx="1">
                  <c:v>-8.39</c:v>
                </c:pt>
                <c:pt idx="2">
                  <c:v>-8.14</c:v>
                </c:pt>
                <c:pt idx="3">
                  <c:v>-7.89</c:v>
                </c:pt>
                <c:pt idx="4">
                  <c:v>-7.64</c:v>
                </c:pt>
                <c:pt idx="5">
                  <c:v>-7.39</c:v>
                </c:pt>
                <c:pt idx="6">
                  <c:v>-7.14</c:v>
                </c:pt>
                <c:pt idx="7">
                  <c:v>-6.89</c:v>
                </c:pt>
                <c:pt idx="8">
                  <c:v>-6.64</c:v>
                </c:pt>
                <c:pt idx="9">
                  <c:v>-6.39</c:v>
                </c:pt>
                <c:pt idx="10">
                  <c:v>-6.14</c:v>
                </c:pt>
                <c:pt idx="11">
                  <c:v>-5.89</c:v>
                </c:pt>
                <c:pt idx="12">
                  <c:v>-5.64</c:v>
                </c:pt>
                <c:pt idx="13">
                  <c:v>-5.39</c:v>
                </c:pt>
                <c:pt idx="14">
                  <c:v>-5.14</c:v>
                </c:pt>
                <c:pt idx="15">
                  <c:v>-4.89</c:v>
                </c:pt>
                <c:pt idx="16">
                  <c:v>-4.64</c:v>
                </c:pt>
                <c:pt idx="17">
                  <c:v>-4.39</c:v>
                </c:pt>
                <c:pt idx="18">
                  <c:v>-4.22</c:v>
                </c:pt>
                <c:pt idx="19">
                  <c:v>-4.14</c:v>
                </c:pt>
                <c:pt idx="20">
                  <c:v>-3.89</c:v>
                </c:pt>
                <c:pt idx="21">
                  <c:v>-3.64</c:v>
                </c:pt>
                <c:pt idx="22">
                  <c:v>-3.39</c:v>
                </c:pt>
                <c:pt idx="23">
                  <c:v>-3.14</c:v>
                </c:pt>
                <c:pt idx="24">
                  <c:v>-2.89</c:v>
                </c:pt>
                <c:pt idx="25">
                  <c:v>-2.64</c:v>
                </c:pt>
                <c:pt idx="26">
                  <c:v>-2.39</c:v>
                </c:pt>
                <c:pt idx="27">
                  <c:v>-2.14</c:v>
                </c:pt>
                <c:pt idx="28">
                  <c:v>-1.89</c:v>
                </c:pt>
                <c:pt idx="29">
                  <c:v>-1.64</c:v>
                </c:pt>
                <c:pt idx="30">
                  <c:v>-1.39</c:v>
                </c:pt>
                <c:pt idx="31">
                  <c:v>-1.14</c:v>
                </c:pt>
                <c:pt idx="32">
                  <c:v>-0.890000000000001</c:v>
                </c:pt>
                <c:pt idx="33">
                  <c:v>-0.640000000000001</c:v>
                </c:pt>
                <c:pt idx="34">
                  <c:v>-0.390000000000001</c:v>
                </c:pt>
                <c:pt idx="35">
                  <c:v>-0.140000000000001</c:v>
                </c:pt>
                <c:pt idx="36">
                  <c:v>0</c:v>
                </c:pt>
                <c:pt idx="37">
                  <c:v>0.109999999999999</c:v>
                </c:pt>
                <c:pt idx="38">
                  <c:v>0.359999999999999</c:v>
                </c:pt>
                <c:pt idx="39">
                  <c:v>0.609999999999999</c:v>
                </c:pt>
                <c:pt idx="40">
                  <c:v>0.859999999999999</c:v>
                </c:pt>
                <c:pt idx="41">
                  <c:v>1.11</c:v>
                </c:pt>
                <c:pt idx="42">
                  <c:v>1.36</c:v>
                </c:pt>
                <c:pt idx="43">
                  <c:v>1.61</c:v>
                </c:pt>
                <c:pt idx="44">
                  <c:v>1.86</c:v>
                </c:pt>
              </c:numCache>
            </c:numRef>
          </c:xVal>
          <c:yVal>
            <c:numRef>
              <c:f>'Data 1980-2008'!$I$171:$I$215</c:f>
              <c:numCache>
                <c:formatCode>General</c:formatCode>
                <c:ptCount val="45"/>
                <c:pt idx="0">
                  <c:v>1010</c:v>
                </c:pt>
                <c:pt idx="1">
                  <c:v>1010</c:v>
                </c:pt>
                <c:pt idx="2">
                  <c:v>1010</c:v>
                </c:pt>
                <c:pt idx="3">
                  <c:v>1010</c:v>
                </c:pt>
                <c:pt idx="4">
                  <c:v>1009</c:v>
                </c:pt>
                <c:pt idx="5">
                  <c:v>1009</c:v>
                </c:pt>
                <c:pt idx="6">
                  <c:v>1009</c:v>
                </c:pt>
                <c:pt idx="7">
                  <c:v>1006</c:v>
                </c:pt>
                <c:pt idx="8">
                  <c:v>1001</c:v>
                </c:pt>
                <c:pt idx="9">
                  <c:v>1003</c:v>
                </c:pt>
                <c:pt idx="10">
                  <c:v>1004</c:v>
                </c:pt>
                <c:pt idx="11">
                  <c:v>1002</c:v>
                </c:pt>
                <c:pt idx="12">
                  <c:v>1002</c:v>
                </c:pt>
                <c:pt idx="13">
                  <c:v>998</c:v>
                </c:pt>
                <c:pt idx="14">
                  <c:v>988</c:v>
                </c:pt>
                <c:pt idx="15">
                  <c:v>1003</c:v>
                </c:pt>
                <c:pt idx="16">
                  <c:v>1010</c:v>
                </c:pt>
                <c:pt idx="17">
                  <c:v>1009</c:v>
                </c:pt>
                <c:pt idx="18">
                  <c:v>1009</c:v>
                </c:pt>
                <c:pt idx="19">
                  <c:v>1009</c:v>
                </c:pt>
                <c:pt idx="20">
                  <c:v>1009</c:v>
                </c:pt>
                <c:pt idx="21">
                  <c:v>1008</c:v>
                </c:pt>
                <c:pt idx="22">
                  <c:v>1007</c:v>
                </c:pt>
                <c:pt idx="23">
                  <c:v>1006</c:v>
                </c:pt>
                <c:pt idx="24">
                  <c:v>1008</c:v>
                </c:pt>
                <c:pt idx="25">
                  <c:v>1003</c:v>
                </c:pt>
                <c:pt idx="26">
                  <c:v>1005</c:v>
                </c:pt>
                <c:pt idx="27">
                  <c:v>999</c:v>
                </c:pt>
                <c:pt idx="28">
                  <c:v>995</c:v>
                </c:pt>
                <c:pt idx="29">
                  <c:v>991</c:v>
                </c:pt>
                <c:pt idx="30">
                  <c:v>993</c:v>
                </c:pt>
                <c:pt idx="31">
                  <c:v>991</c:v>
                </c:pt>
                <c:pt idx="32">
                  <c:v>989</c:v>
                </c:pt>
                <c:pt idx="33">
                  <c:v>988</c:v>
                </c:pt>
                <c:pt idx="34">
                  <c:v>987</c:v>
                </c:pt>
                <c:pt idx="35">
                  <c:v>982</c:v>
                </c:pt>
                <c:pt idx="36">
                  <c:v>979</c:v>
                </c:pt>
                <c:pt idx="37">
                  <c:v>984</c:v>
                </c:pt>
                <c:pt idx="38">
                  <c:v>995</c:v>
                </c:pt>
                <c:pt idx="39">
                  <c:v>999</c:v>
                </c:pt>
                <c:pt idx="40">
                  <c:v>1003</c:v>
                </c:pt>
                <c:pt idx="41">
                  <c:v>1007</c:v>
                </c:pt>
                <c:pt idx="42">
                  <c:v>1014</c:v>
                </c:pt>
                <c:pt idx="43">
                  <c:v>1016</c:v>
                </c:pt>
                <c:pt idx="44">
                  <c:v>1016</c:v>
                </c:pt>
              </c:numCache>
            </c:numRef>
          </c:yVal>
        </c:ser>
        <c:ser>
          <c:idx val="7"/>
          <c:order val="7"/>
          <c:tx>
            <c:strRef>
              <c:f>'Data 1980-2008'!$E$217</c:f>
              <c:strCache>
                <c:ptCount val="1"/>
                <c:pt idx="0">
                  <c:v>Rita</c:v>
                </c:pt>
              </c:strCache>
            </c:strRef>
          </c:tx>
          <c:spPr>
            <a:solidFill>
              <a:srgbClr val="314004"/>
            </a:solidFill>
            <a:ln w="25560">
              <a:solidFill>
                <a:srgbClr val="314004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1980-2008'!$K$218:$K$253</c:f>
              <c:numCache>
                <c:formatCode>General</c:formatCode>
                <c:ptCount val="36"/>
                <c:pt idx="0">
                  <c:v>-4.13</c:v>
                </c:pt>
                <c:pt idx="1">
                  <c:v>-3.88</c:v>
                </c:pt>
                <c:pt idx="2">
                  <c:v>-3.63</c:v>
                </c:pt>
                <c:pt idx="3">
                  <c:v>-3.38</c:v>
                </c:pt>
                <c:pt idx="4">
                  <c:v>-3.13</c:v>
                </c:pt>
                <c:pt idx="5">
                  <c:v>-2.88</c:v>
                </c:pt>
                <c:pt idx="6">
                  <c:v>-2.63</c:v>
                </c:pt>
                <c:pt idx="7">
                  <c:v>-2.38</c:v>
                </c:pt>
                <c:pt idx="8">
                  <c:v>-2.13</c:v>
                </c:pt>
                <c:pt idx="9">
                  <c:v>-1.88</c:v>
                </c:pt>
                <c:pt idx="10">
                  <c:v>-1.63</c:v>
                </c:pt>
                <c:pt idx="11">
                  <c:v>-1.38</c:v>
                </c:pt>
                <c:pt idx="12">
                  <c:v>-1.13</c:v>
                </c:pt>
                <c:pt idx="13">
                  <c:v>-0.88</c:v>
                </c:pt>
                <c:pt idx="14">
                  <c:v>-0.63</c:v>
                </c:pt>
                <c:pt idx="15">
                  <c:v>-0.38</c:v>
                </c:pt>
                <c:pt idx="16">
                  <c:v>-0.13</c:v>
                </c:pt>
                <c:pt idx="17">
                  <c:v>0</c:v>
                </c:pt>
                <c:pt idx="18">
                  <c:v>0.12</c:v>
                </c:pt>
                <c:pt idx="19">
                  <c:v>0.37</c:v>
                </c:pt>
                <c:pt idx="20">
                  <c:v>0.62</c:v>
                </c:pt>
                <c:pt idx="21">
                  <c:v>0.87</c:v>
                </c:pt>
                <c:pt idx="22">
                  <c:v>1.12</c:v>
                </c:pt>
                <c:pt idx="23">
                  <c:v>1.37</c:v>
                </c:pt>
                <c:pt idx="24">
                  <c:v>1.62</c:v>
                </c:pt>
                <c:pt idx="25">
                  <c:v>1.87</c:v>
                </c:pt>
                <c:pt idx="26">
                  <c:v>2.12</c:v>
                </c:pt>
                <c:pt idx="27">
                  <c:v>2.17</c:v>
                </c:pt>
                <c:pt idx="28">
                  <c:v>2.37</c:v>
                </c:pt>
                <c:pt idx="29">
                  <c:v>2.62</c:v>
                </c:pt>
                <c:pt idx="30">
                  <c:v>2.87</c:v>
                </c:pt>
                <c:pt idx="31">
                  <c:v>3.12</c:v>
                </c:pt>
                <c:pt idx="32">
                  <c:v>3.37</c:v>
                </c:pt>
                <c:pt idx="33">
                  <c:v>3.62</c:v>
                </c:pt>
                <c:pt idx="34">
                  <c:v>3.87</c:v>
                </c:pt>
                <c:pt idx="35">
                  <c:v>4.12</c:v>
                </c:pt>
              </c:numCache>
            </c:numRef>
          </c:xVal>
          <c:yVal>
            <c:numRef>
              <c:f>'Data 1980-2008'!$I$218:$I$253</c:f>
              <c:numCache>
                <c:formatCode>General</c:formatCode>
                <c:ptCount val="36"/>
                <c:pt idx="0">
                  <c:v>1009</c:v>
                </c:pt>
                <c:pt idx="1">
                  <c:v>1009</c:v>
                </c:pt>
                <c:pt idx="2">
                  <c:v>1007</c:v>
                </c:pt>
                <c:pt idx="3">
                  <c:v>1005</c:v>
                </c:pt>
                <c:pt idx="4">
                  <c:v>1002</c:v>
                </c:pt>
                <c:pt idx="5">
                  <c:v>999</c:v>
                </c:pt>
                <c:pt idx="6">
                  <c:v>997</c:v>
                </c:pt>
                <c:pt idx="7">
                  <c:v>994</c:v>
                </c:pt>
                <c:pt idx="8">
                  <c:v>992</c:v>
                </c:pt>
                <c:pt idx="9">
                  <c:v>990</c:v>
                </c:pt>
                <c:pt idx="10">
                  <c:v>985</c:v>
                </c:pt>
                <c:pt idx="11">
                  <c:v>975</c:v>
                </c:pt>
                <c:pt idx="12">
                  <c:v>967</c:v>
                </c:pt>
                <c:pt idx="13">
                  <c:v>955</c:v>
                </c:pt>
                <c:pt idx="14">
                  <c:v>941</c:v>
                </c:pt>
                <c:pt idx="15">
                  <c:v>920</c:v>
                </c:pt>
                <c:pt idx="16">
                  <c:v>897</c:v>
                </c:pt>
                <c:pt idx="17">
                  <c:v>895</c:v>
                </c:pt>
                <c:pt idx="18">
                  <c:v>897</c:v>
                </c:pt>
                <c:pt idx="19">
                  <c:v>908</c:v>
                </c:pt>
                <c:pt idx="20">
                  <c:v>913</c:v>
                </c:pt>
                <c:pt idx="21">
                  <c:v>915</c:v>
                </c:pt>
                <c:pt idx="22">
                  <c:v>924</c:v>
                </c:pt>
                <c:pt idx="23">
                  <c:v>927</c:v>
                </c:pt>
                <c:pt idx="24">
                  <c:v>930</c:v>
                </c:pt>
                <c:pt idx="25">
                  <c:v>931</c:v>
                </c:pt>
                <c:pt idx="26">
                  <c:v>935</c:v>
                </c:pt>
                <c:pt idx="27">
                  <c:v>937</c:v>
                </c:pt>
                <c:pt idx="28">
                  <c:v>949</c:v>
                </c:pt>
                <c:pt idx="29">
                  <c:v>974</c:v>
                </c:pt>
                <c:pt idx="30">
                  <c:v>982</c:v>
                </c:pt>
                <c:pt idx="31">
                  <c:v>989</c:v>
                </c:pt>
                <c:pt idx="32">
                  <c:v>995</c:v>
                </c:pt>
                <c:pt idx="33">
                  <c:v>1000</c:v>
                </c:pt>
                <c:pt idx="34">
                  <c:v>1003</c:v>
                </c:pt>
                <c:pt idx="35">
                  <c:v>1006</c:v>
                </c:pt>
              </c:numCache>
            </c:numRef>
          </c:yVal>
        </c:ser>
        <c:ser>
          <c:idx val="8"/>
          <c:order val="8"/>
          <c:tx>
            <c:strRef>
              <c:f>'Data 1980-2008'!$E$255</c:f>
              <c:strCache>
                <c:ptCount val="1"/>
                <c:pt idx="0">
                  <c:v>Humberto</c:v>
                </c:pt>
              </c:strCache>
            </c:strRef>
          </c:tx>
          <c:spPr>
            <a:solidFill>
              <a:srgbClr val="aecf00"/>
            </a:solidFill>
            <a:ln w="25560">
              <a:solidFill>
                <a:srgbClr val="aecf00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1980-2008'!$K$256:$K$266</c:f>
              <c:numCache>
                <c:formatCode>General</c:formatCode>
                <c:ptCount val="11"/>
                <c:pt idx="0">
                  <c:v>-1.04</c:v>
                </c:pt>
                <c:pt idx="1">
                  <c:v>-0.79</c:v>
                </c:pt>
                <c:pt idx="2">
                  <c:v>-0.54</c:v>
                </c:pt>
                <c:pt idx="3">
                  <c:v>-0.29</c:v>
                </c:pt>
                <c:pt idx="4">
                  <c:v>-0.04</c:v>
                </c:pt>
                <c:pt idx="5">
                  <c:v>0</c:v>
                </c:pt>
                <c:pt idx="6">
                  <c:v>0.21</c:v>
                </c:pt>
                <c:pt idx="7">
                  <c:v>0.46</c:v>
                </c:pt>
                <c:pt idx="8">
                  <c:v>0.71</c:v>
                </c:pt>
                <c:pt idx="9">
                  <c:v>0.96</c:v>
                </c:pt>
                <c:pt idx="10">
                  <c:v>1.21</c:v>
                </c:pt>
              </c:numCache>
            </c:numRef>
          </c:xVal>
          <c:yVal>
            <c:numRef>
              <c:f>'Data 1980-2008'!$I$256:$I$266</c:f>
              <c:numCache>
                <c:formatCode>General</c:formatCode>
                <c:ptCount val="11"/>
                <c:pt idx="0">
                  <c:v>1009</c:v>
                </c:pt>
                <c:pt idx="1">
                  <c:v>1006</c:v>
                </c:pt>
                <c:pt idx="2">
                  <c:v>1001</c:v>
                </c:pt>
                <c:pt idx="3">
                  <c:v>997</c:v>
                </c:pt>
                <c:pt idx="4">
                  <c:v>985</c:v>
                </c:pt>
                <c:pt idx="5">
                  <c:v>985</c:v>
                </c:pt>
                <c:pt idx="6">
                  <c:v>989</c:v>
                </c:pt>
                <c:pt idx="7">
                  <c:v>1000</c:v>
                </c:pt>
                <c:pt idx="8">
                  <c:v>1006</c:v>
                </c:pt>
                <c:pt idx="9">
                  <c:v>1009</c:v>
                </c:pt>
                <c:pt idx="10">
                  <c:v>1012</c:v>
                </c:pt>
              </c:numCache>
            </c:numRef>
          </c:yVal>
        </c:ser>
        <c:ser>
          <c:idx val="9"/>
          <c:order val="9"/>
          <c:tx>
            <c:strRef>
              <c:f>'Data 1980-2008'!$E$268</c:f>
              <c:strCache>
                <c:ptCount val="1"/>
                <c:pt idx="0">
                  <c:v>Dolly</c:v>
                </c:pt>
              </c:strCache>
            </c:strRef>
          </c:tx>
          <c:spPr>
            <a:solidFill>
              <a:srgbClr val="4b1f6f"/>
            </a:solidFill>
            <a:ln w="25560">
              <a:solidFill>
                <a:srgbClr val="4b1f6f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1980-2008'!$K$269:$K$296</c:f>
              <c:numCache>
                <c:formatCode>General</c:formatCode>
                <c:ptCount val="28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-2.28</c:v>
                </c:pt>
                <c:pt idx="4">
                  <c:v>-2.25</c:v>
                </c:pt>
                <c:pt idx="5">
                  <c:v>-2</c:v>
                </c:pt>
                <c:pt idx="6">
                  <c:v>-1.75</c:v>
                </c:pt>
                <c:pt idx="7">
                  <c:v>-1.5</c:v>
                </c:pt>
                <c:pt idx="8">
                  <c:v>-1.25</c:v>
                </c:pt>
                <c:pt idx="9">
                  <c:v>-1</c:v>
                </c:pt>
                <c:pt idx="10">
                  <c:v>-0.75</c:v>
                </c:pt>
                <c:pt idx="11">
                  <c:v>-0.5</c:v>
                </c:pt>
                <c:pt idx="12">
                  <c:v>-0.25</c:v>
                </c:pt>
                <c:pt idx="13">
                  <c:v>0</c:v>
                </c:pt>
                <c:pt idx="14">
                  <c:v>0.0800000000000001</c:v>
                </c:pt>
                <c:pt idx="15">
                  <c:v>0.25</c:v>
                </c:pt>
                <c:pt idx="16">
                  <c:v>0.25</c:v>
                </c:pt>
                <c:pt idx="17">
                  <c:v>0.33</c:v>
                </c:pt>
                <c:pt idx="18">
                  <c:v>0.5</c:v>
                </c:pt>
                <c:pt idx="19">
                  <c:v>0.75</c:v>
                </c:pt>
                <c:pt idx="20">
                  <c:v>1</c:v>
                </c:pt>
                <c:pt idx="21">
                  <c:v>1.25</c:v>
                </c:pt>
                <c:pt idx="22">
                  <c:v>1.5</c:v>
                </c:pt>
                <c:pt idx="23">
                  <c:v>1.75</c:v>
                </c:pt>
                <c:pt idx="24">
                  <c:v>2</c:v>
                </c:pt>
                <c:pt idx="25">
                  <c:v>2.25</c:v>
                </c:pt>
                <c:pt idx="26">
                  <c:v>2.5</c:v>
                </c:pt>
                <c:pt idx="27">
                  <c:v>2.75</c:v>
                </c:pt>
              </c:numCache>
            </c:numRef>
          </c:xVal>
          <c:yVal>
            <c:numRef>
              <c:f>'Data 1980-2008'!$I$269:$I$296</c:f>
              <c:numCache>
                <c:formatCode>General</c:formatCode>
                <c:ptCount val="28"/>
                <c:pt idx="0">
                  <c:v>1008</c:v>
                </c:pt>
                <c:pt idx="1">
                  <c:v>1008</c:v>
                </c:pt>
                <c:pt idx="2">
                  <c:v>1007</c:v>
                </c:pt>
                <c:pt idx="3">
                  <c:v>1007</c:v>
                </c:pt>
                <c:pt idx="4">
                  <c:v>1005</c:v>
                </c:pt>
                <c:pt idx="5">
                  <c:v>1005</c:v>
                </c:pt>
                <c:pt idx="6">
                  <c:v>1000</c:v>
                </c:pt>
                <c:pt idx="7">
                  <c:v>999</c:v>
                </c:pt>
                <c:pt idx="8">
                  <c:v>993</c:v>
                </c:pt>
                <c:pt idx="9">
                  <c:v>990</c:v>
                </c:pt>
                <c:pt idx="10">
                  <c:v>982</c:v>
                </c:pt>
                <c:pt idx="11">
                  <c:v>982</c:v>
                </c:pt>
                <c:pt idx="12">
                  <c:v>967</c:v>
                </c:pt>
                <c:pt idx="13">
                  <c:v>963</c:v>
                </c:pt>
                <c:pt idx="14">
                  <c:v>967</c:v>
                </c:pt>
                <c:pt idx="15">
                  <c:v>976</c:v>
                </c:pt>
                <c:pt idx="16">
                  <c:v>986</c:v>
                </c:pt>
                <c:pt idx="17">
                  <c:v>992</c:v>
                </c:pt>
                <c:pt idx="18">
                  <c:v>995</c:v>
                </c:pt>
                <c:pt idx="19">
                  <c:v>1000</c:v>
                </c:pt>
                <c:pt idx="20">
                  <c:v>1004</c:v>
                </c:pt>
                <c:pt idx="21">
                  <c:v>1008</c:v>
                </c:pt>
                <c:pt idx="22">
                  <c:v>1009</c:v>
                </c:pt>
                <c:pt idx="23">
                  <c:v>1012</c:v>
                </c:pt>
                <c:pt idx="24">
                  <c:v>1011</c:v>
                </c:pt>
                <c:pt idx="25">
                  <c:v>1010</c:v>
                </c:pt>
                <c:pt idx="26">
                  <c:v>1014</c:v>
                </c:pt>
                <c:pt idx="27">
                  <c:v>1016</c:v>
                </c:pt>
              </c:numCache>
            </c:numRef>
          </c:yVal>
        </c:ser>
        <c:ser>
          <c:idx val="10"/>
          <c:order val="10"/>
          <c:tx>
            <c:strRef>
              <c:f>'Data 1980-2008'!$E$301</c:f>
              <c:strCache>
                <c:ptCount val="1"/>
                <c:pt idx="0">
                  <c:v>Ike</c:v>
                </c:pt>
              </c:strCache>
            </c:strRef>
          </c:tx>
          <c:spPr>
            <a:solidFill>
              <a:srgbClr val="ff950e"/>
            </a:solidFill>
            <a:ln w="25560">
              <a:solidFill>
                <a:srgbClr val="ff950e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1980-2008'!$K$302:$K$363</c:f>
              <c:numCache>
                <c:formatCode>General</c:formatCode>
                <c:ptCount val="62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-2.25</c:v>
                </c:pt>
                <c:pt idx="4">
                  <c:v>-2</c:v>
                </c:pt>
                <c:pt idx="5">
                  <c:v>-1.75</c:v>
                </c:pt>
                <c:pt idx="6">
                  <c:v>-1.5</c:v>
                </c:pt>
                <c:pt idx="7">
                  <c:v>-1.25</c:v>
                </c:pt>
                <c:pt idx="8">
                  <c:v>-1</c:v>
                </c:pt>
                <c:pt idx="9">
                  <c:v>-0.75</c:v>
                </c:pt>
                <c:pt idx="10">
                  <c:v>-0.5</c:v>
                </c:pt>
                <c:pt idx="11">
                  <c:v>-0.25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  <c:pt idx="20">
                  <c:v>2</c:v>
                </c:pt>
                <c:pt idx="21">
                  <c:v>2.25</c:v>
                </c:pt>
                <c:pt idx="22">
                  <c:v>2.5</c:v>
                </c:pt>
                <c:pt idx="23">
                  <c:v>2.75</c:v>
                </c:pt>
                <c:pt idx="24">
                  <c:v>3</c:v>
                </c:pt>
                <c:pt idx="25">
                  <c:v>3.25</c:v>
                </c:pt>
                <c:pt idx="26">
                  <c:v>3.29</c:v>
                </c:pt>
                <c:pt idx="27">
                  <c:v>3.5</c:v>
                </c:pt>
                <c:pt idx="28">
                  <c:v>3.75</c:v>
                </c:pt>
                <c:pt idx="29">
                  <c:v>3.83</c:v>
                </c:pt>
                <c:pt idx="30">
                  <c:v>4</c:v>
                </c:pt>
                <c:pt idx="31">
                  <c:v>4.25</c:v>
                </c:pt>
                <c:pt idx="32">
                  <c:v>4.5</c:v>
                </c:pt>
                <c:pt idx="33">
                  <c:v>4.75</c:v>
                </c:pt>
                <c:pt idx="34">
                  <c:v>5</c:v>
                </c:pt>
                <c:pt idx="35">
                  <c:v>5.25</c:v>
                </c:pt>
                <c:pt idx="36">
                  <c:v>5.33</c:v>
                </c:pt>
                <c:pt idx="37">
                  <c:v>5.5</c:v>
                </c:pt>
                <c:pt idx="38">
                  <c:v>5.75</c:v>
                </c:pt>
                <c:pt idx="39">
                  <c:v>6</c:v>
                </c:pt>
                <c:pt idx="40">
                  <c:v>6.25</c:v>
                </c:pt>
                <c:pt idx="41">
                  <c:v>6.5</c:v>
                </c:pt>
                <c:pt idx="42">
                  <c:v>6.75</c:v>
                </c:pt>
                <c:pt idx="43">
                  <c:v>7</c:v>
                </c:pt>
                <c:pt idx="44">
                  <c:v>7.25</c:v>
                </c:pt>
                <c:pt idx="45">
                  <c:v>7.5</c:v>
                </c:pt>
                <c:pt idx="46">
                  <c:v>7.75</c:v>
                </c:pt>
                <c:pt idx="47">
                  <c:v>8</c:v>
                </c:pt>
                <c:pt idx="48">
                  <c:v>8.25</c:v>
                </c:pt>
                <c:pt idx="49">
                  <c:v>8.5</c:v>
                </c:pt>
                <c:pt idx="50">
                  <c:v>8.75</c:v>
                </c:pt>
                <c:pt idx="51">
                  <c:v>9</c:v>
                </c:pt>
                <c:pt idx="52">
                  <c:v>9.04</c:v>
                </c:pt>
                <c:pt idx="53">
                  <c:v>9.25</c:v>
                </c:pt>
                <c:pt idx="54">
                  <c:v>9.5</c:v>
                </c:pt>
                <c:pt idx="55">
                  <c:v>9.75</c:v>
                </c:pt>
                <c:pt idx="56">
                  <c:v>10</c:v>
                </c:pt>
                <c:pt idx="57">
                  <c:v>10.25</c:v>
                </c:pt>
                <c:pt idx="58">
                  <c:v>10.5</c:v>
                </c:pt>
                <c:pt idx="59">
                  <c:v>10.75</c:v>
                </c:pt>
                <c:pt idx="60">
                  <c:v>11</c:v>
                </c:pt>
                <c:pt idx="61">
                  <c:v>11.25</c:v>
                </c:pt>
              </c:numCache>
            </c:numRef>
          </c:xVal>
          <c:yVal>
            <c:numRef>
              <c:f>'Data 1980-2008'!$I$302:$I$363</c:f>
              <c:numCache>
                <c:formatCode>General</c:formatCode>
                <c:ptCount val="62"/>
                <c:pt idx="0">
                  <c:v>1006</c:v>
                </c:pt>
                <c:pt idx="1">
                  <c:v>1005</c:v>
                </c:pt>
                <c:pt idx="2">
                  <c:v>1003</c:v>
                </c:pt>
                <c:pt idx="3">
                  <c:v>1002</c:v>
                </c:pt>
                <c:pt idx="4">
                  <c:v>1000</c:v>
                </c:pt>
                <c:pt idx="5">
                  <c:v>999</c:v>
                </c:pt>
                <c:pt idx="6">
                  <c:v>996</c:v>
                </c:pt>
                <c:pt idx="7">
                  <c:v>994</c:v>
                </c:pt>
                <c:pt idx="8">
                  <c:v>992</c:v>
                </c:pt>
                <c:pt idx="9">
                  <c:v>989</c:v>
                </c:pt>
                <c:pt idx="10">
                  <c:v>979</c:v>
                </c:pt>
                <c:pt idx="11">
                  <c:v>956</c:v>
                </c:pt>
                <c:pt idx="12">
                  <c:v>935</c:v>
                </c:pt>
                <c:pt idx="13">
                  <c:v>937</c:v>
                </c:pt>
                <c:pt idx="14">
                  <c:v>940</c:v>
                </c:pt>
                <c:pt idx="15">
                  <c:v>944</c:v>
                </c:pt>
                <c:pt idx="16">
                  <c:v>949</c:v>
                </c:pt>
                <c:pt idx="17">
                  <c:v>954</c:v>
                </c:pt>
                <c:pt idx="18">
                  <c:v>959</c:v>
                </c:pt>
                <c:pt idx="19">
                  <c:v>962</c:v>
                </c:pt>
                <c:pt idx="20">
                  <c:v>964</c:v>
                </c:pt>
                <c:pt idx="21">
                  <c:v>965</c:v>
                </c:pt>
                <c:pt idx="22">
                  <c:v>950</c:v>
                </c:pt>
                <c:pt idx="23">
                  <c:v>947</c:v>
                </c:pt>
                <c:pt idx="24">
                  <c:v>947</c:v>
                </c:pt>
                <c:pt idx="25">
                  <c:v>947</c:v>
                </c:pt>
                <c:pt idx="26">
                  <c:v>947</c:v>
                </c:pt>
                <c:pt idx="27">
                  <c:v>946</c:v>
                </c:pt>
                <c:pt idx="28">
                  <c:v>945</c:v>
                </c:pt>
                <c:pt idx="29">
                  <c:v>945</c:v>
                </c:pt>
                <c:pt idx="30">
                  <c:v>950</c:v>
                </c:pt>
                <c:pt idx="31">
                  <c:v>960</c:v>
                </c:pt>
                <c:pt idx="32">
                  <c:v>964</c:v>
                </c:pt>
                <c:pt idx="33">
                  <c:v>965</c:v>
                </c:pt>
                <c:pt idx="34">
                  <c:v>965</c:v>
                </c:pt>
                <c:pt idx="35">
                  <c:v>965</c:v>
                </c:pt>
                <c:pt idx="36">
                  <c:v>965</c:v>
                </c:pt>
                <c:pt idx="37">
                  <c:v>966</c:v>
                </c:pt>
                <c:pt idx="38">
                  <c:v>968</c:v>
                </c:pt>
                <c:pt idx="39">
                  <c:v>964</c:v>
                </c:pt>
                <c:pt idx="40">
                  <c:v>959</c:v>
                </c:pt>
                <c:pt idx="41">
                  <c:v>958</c:v>
                </c:pt>
                <c:pt idx="42">
                  <c:v>944</c:v>
                </c:pt>
                <c:pt idx="43">
                  <c:v>945</c:v>
                </c:pt>
                <c:pt idx="44">
                  <c:v>946</c:v>
                </c:pt>
                <c:pt idx="45">
                  <c:v>952</c:v>
                </c:pt>
                <c:pt idx="46">
                  <c:v>954</c:v>
                </c:pt>
                <c:pt idx="47">
                  <c:v>954</c:v>
                </c:pt>
                <c:pt idx="48">
                  <c:v>954</c:v>
                </c:pt>
                <c:pt idx="49">
                  <c:v>954</c:v>
                </c:pt>
                <c:pt idx="50">
                  <c:v>952</c:v>
                </c:pt>
                <c:pt idx="51">
                  <c:v>951</c:v>
                </c:pt>
                <c:pt idx="52">
                  <c:v>950</c:v>
                </c:pt>
                <c:pt idx="53">
                  <c:v>959</c:v>
                </c:pt>
                <c:pt idx="54">
                  <c:v>974</c:v>
                </c:pt>
                <c:pt idx="55">
                  <c:v>980</c:v>
                </c:pt>
                <c:pt idx="56">
                  <c:v>985</c:v>
                </c:pt>
                <c:pt idx="57">
                  <c:v>987</c:v>
                </c:pt>
                <c:pt idx="58">
                  <c:v>988</c:v>
                </c:pt>
                <c:pt idx="59">
                  <c:v>988</c:v>
                </c:pt>
                <c:pt idx="60">
                  <c:v>986</c:v>
                </c:pt>
                <c:pt idx="61">
                  <c:v>986</c:v>
                </c:pt>
              </c:numCache>
            </c:numRef>
          </c:yVal>
        </c:ser>
        <c:axId val="587023"/>
        <c:axId val="83072703"/>
      </c:scatterChart>
      <c:valAx>
        <c:axId val="587023"/>
        <c:scaling>
          <c:orientation val="minMax"/>
          <c:max val="12"/>
          <c:min val="-6"/>
        </c:scaling>
        <c:delete val="0"/>
        <c:axPos val="b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Days</a:t>
                </a:r>
              </a:p>
            </c:rich>
          </c:tx>
          <c:layout/>
        </c:title>
        <c:majorTickMark val="none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83072703"/>
        <c:crossesAt val="0"/>
        <c:majorUnit val="1"/>
        <c:minorUnit val="1"/>
      </c:valAx>
      <c:valAx>
        <c:axId val="83072703"/>
        <c:scaling>
          <c:orientation val="minMax"/>
          <c:max val="1020"/>
          <c:min val="880"/>
        </c:scaling>
        <c:delete val="0"/>
        <c:axPos val="l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Barometric Pressure (mb)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587023"/>
        <c:crossesAt val="0"/>
        <c:majorUnit val="20"/>
      </c:valAx>
      <c:spPr>
        <a:noFill/>
        <a:ln w="3240">
          <a:solidFill>
            <a:srgbClr val="b3b3b3"/>
          </a:solidFill>
          <a:round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b="1" sz="1000">
                <a:solidFill>
                  <a:srgbClr val="003300"/>
                </a:solidFill>
                <a:latin typeface="宋体"/>
                <a:ea typeface="宋体"/>
              </a:rPr>
              <a:t>Wind Speed Comparison(1980-2008)</a:t>
            </a:r>
          </a:p>
        </c:rich>
      </c:tx>
      <c:layout/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'Data 1980-2008'!$C$3</c:f>
              <c:strCache>
                <c:ptCount val="1"/>
                <c:pt idx="0">
                  <c:v>Allen</c:v>
                </c:pt>
              </c:strCache>
            </c:strRef>
          </c:tx>
          <c:spPr>
            <a:solidFill>
              <a:srgbClr val="c5000b"/>
            </a:solidFill>
            <a:ln w="25560">
              <a:solidFill>
                <a:srgbClr val="c5000b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1980-2008'!$A$4:$A$49</c:f>
              <c:numCache>
                <c:formatCode>General</c:formatCode>
                <c:ptCount val="4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  <c:pt idx="38">
                  <c:v>10.5</c:v>
                </c:pt>
                <c:pt idx="39">
                  <c:v>10.75</c:v>
                </c:pt>
                <c:pt idx="40">
                  <c:v>11</c:v>
                </c:pt>
                <c:pt idx="41">
                  <c:v>11.25</c:v>
                </c:pt>
                <c:pt idx="42">
                  <c:v>11.5</c:v>
                </c:pt>
                <c:pt idx="43">
                  <c:v>11.75</c:v>
                </c:pt>
                <c:pt idx="44">
                  <c:v>12</c:v>
                </c:pt>
                <c:pt idx="45">
                  <c:v>12.25</c:v>
                </c:pt>
              </c:numCache>
            </c:numRef>
          </c:xVal>
          <c:yVal>
            <c:numRef>
              <c:f>'Data 1980-2008'!$F$4:$F$49</c:f>
              <c:numCache>
                <c:formatCode>General</c:formatCode>
                <c:ptCount val="46"/>
                <c:pt idx="0">
                  <c:v>12.86</c:v>
                </c:pt>
                <c:pt idx="1">
                  <c:v>12.86</c:v>
                </c:pt>
                <c:pt idx="2">
                  <c:v>15.432</c:v>
                </c:pt>
                <c:pt idx="3">
                  <c:v>15.432</c:v>
                </c:pt>
                <c:pt idx="4">
                  <c:v>15.432</c:v>
                </c:pt>
                <c:pt idx="5">
                  <c:v>15.432</c:v>
                </c:pt>
                <c:pt idx="6">
                  <c:v>18.004</c:v>
                </c:pt>
                <c:pt idx="7">
                  <c:v>23.148</c:v>
                </c:pt>
                <c:pt idx="8">
                  <c:v>28.292</c:v>
                </c:pt>
                <c:pt idx="9">
                  <c:v>30.864</c:v>
                </c:pt>
                <c:pt idx="10">
                  <c:v>33.436</c:v>
                </c:pt>
                <c:pt idx="11">
                  <c:v>36.008</c:v>
                </c:pt>
                <c:pt idx="12">
                  <c:v>41.152</c:v>
                </c:pt>
                <c:pt idx="13">
                  <c:v>48.868</c:v>
                </c:pt>
                <c:pt idx="14">
                  <c:v>56.584</c:v>
                </c:pt>
                <c:pt idx="15">
                  <c:v>59.156</c:v>
                </c:pt>
                <c:pt idx="16">
                  <c:v>64.3</c:v>
                </c:pt>
                <c:pt idx="17">
                  <c:v>66.872</c:v>
                </c:pt>
                <c:pt idx="18">
                  <c:v>72.016</c:v>
                </c:pt>
                <c:pt idx="19">
                  <c:v>74.588</c:v>
                </c:pt>
                <c:pt idx="20">
                  <c:v>79.732</c:v>
                </c:pt>
                <c:pt idx="21">
                  <c:v>77.16</c:v>
                </c:pt>
                <c:pt idx="22">
                  <c:v>72.016</c:v>
                </c:pt>
                <c:pt idx="23">
                  <c:v>59.156</c:v>
                </c:pt>
                <c:pt idx="24">
                  <c:v>59.156</c:v>
                </c:pt>
                <c:pt idx="25">
                  <c:v>64.3</c:v>
                </c:pt>
                <c:pt idx="26">
                  <c:v>69.444</c:v>
                </c:pt>
                <c:pt idx="27">
                  <c:v>74.588</c:v>
                </c:pt>
                <c:pt idx="28">
                  <c:v>79.732</c:v>
                </c:pt>
                <c:pt idx="29">
                  <c:v>84.876</c:v>
                </c:pt>
                <c:pt idx="30">
                  <c:v>79.732</c:v>
                </c:pt>
                <c:pt idx="31">
                  <c:v>66.872</c:v>
                </c:pt>
                <c:pt idx="32">
                  <c:v>59.156</c:v>
                </c:pt>
                <c:pt idx="33">
                  <c:v>66.872</c:v>
                </c:pt>
                <c:pt idx="34">
                  <c:v>74.588</c:v>
                </c:pt>
                <c:pt idx="35">
                  <c:v>79.732</c:v>
                </c:pt>
                <c:pt idx="36">
                  <c:v>72.016</c:v>
                </c:pt>
                <c:pt idx="37">
                  <c:v>64.3</c:v>
                </c:pt>
                <c:pt idx="38">
                  <c:v>56.584</c:v>
                </c:pt>
                <c:pt idx="39">
                  <c:v>51.44</c:v>
                </c:pt>
                <c:pt idx="40">
                  <c:v>43.724</c:v>
                </c:pt>
                <c:pt idx="41">
                  <c:v>36.008</c:v>
                </c:pt>
                <c:pt idx="42">
                  <c:v>30.864</c:v>
                </c:pt>
                <c:pt idx="43">
                  <c:v>23.148</c:v>
                </c:pt>
                <c:pt idx="44">
                  <c:v>15.432</c:v>
                </c:pt>
                <c:pt idx="45">
                  <c:v>15.432</c:v>
                </c:pt>
              </c:numCache>
            </c:numRef>
          </c:yVal>
        </c:ser>
        <c:ser>
          <c:idx val="1"/>
          <c:order val="1"/>
          <c:tx>
            <c:strRef>
              <c:f>'Data 1980-2008'!$C$52</c:f>
              <c:strCache>
                <c:ptCount val="1"/>
                <c:pt idx="0">
                  <c:v>Alicia</c:v>
                </c:pt>
              </c:strCache>
            </c:strRef>
          </c:tx>
          <c:spPr>
            <a:solidFill>
              <a:srgbClr val="004586"/>
            </a:solidFill>
            <a:ln w="25560">
              <a:solidFill>
                <a:srgbClr val="004586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1980-2008'!$A$53:$A$76</c:f>
              <c:numCache>
                <c:formatCode>General</c:formatCode>
                <c:ptCount val="24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3.79</c:v>
                </c:pt>
                <c:pt idx="13">
                  <c:v>4</c:v>
                </c:pt>
                <c:pt idx="14">
                  <c:v>4.25</c:v>
                </c:pt>
                <c:pt idx="15">
                  <c:v>4.5</c:v>
                </c:pt>
                <c:pt idx="16">
                  <c:v>4.75</c:v>
                </c:pt>
                <c:pt idx="17">
                  <c:v>5</c:v>
                </c:pt>
                <c:pt idx="18">
                  <c:v>5.25</c:v>
                </c:pt>
                <c:pt idx="19">
                  <c:v>5.5</c:v>
                </c:pt>
                <c:pt idx="20">
                  <c:v>5.75</c:v>
                </c:pt>
                <c:pt idx="21">
                  <c:v>6</c:v>
                </c:pt>
                <c:pt idx="22">
                  <c:v>6.25</c:v>
                </c:pt>
                <c:pt idx="23">
                  <c:v>6.5</c:v>
                </c:pt>
              </c:numCache>
            </c:numRef>
          </c:xVal>
          <c:yVal>
            <c:numRef>
              <c:f>'Data 1980-2008'!$F$53:$F$76</c:f>
              <c:numCache>
                <c:formatCode>General</c:formatCode>
                <c:ptCount val="24"/>
                <c:pt idx="0">
                  <c:v>15.432</c:v>
                </c:pt>
                <c:pt idx="1">
                  <c:v>20.576</c:v>
                </c:pt>
                <c:pt idx="2">
                  <c:v>23.148</c:v>
                </c:pt>
                <c:pt idx="3">
                  <c:v>25.72</c:v>
                </c:pt>
                <c:pt idx="4">
                  <c:v>28.292</c:v>
                </c:pt>
                <c:pt idx="5">
                  <c:v>30.864</c:v>
                </c:pt>
                <c:pt idx="6">
                  <c:v>33.436</c:v>
                </c:pt>
                <c:pt idx="7">
                  <c:v>36.008</c:v>
                </c:pt>
                <c:pt idx="8">
                  <c:v>38.58</c:v>
                </c:pt>
                <c:pt idx="9">
                  <c:v>46.296</c:v>
                </c:pt>
                <c:pt idx="10">
                  <c:v>48.868</c:v>
                </c:pt>
                <c:pt idx="11">
                  <c:v>51.44</c:v>
                </c:pt>
                <c:pt idx="12">
                  <c:v>41.152</c:v>
                </c:pt>
                <c:pt idx="13">
                  <c:v>20.576</c:v>
                </c:pt>
                <c:pt idx="14">
                  <c:v>18.004</c:v>
                </c:pt>
                <c:pt idx="15">
                  <c:v>15.432</c:v>
                </c:pt>
                <c:pt idx="16">
                  <c:v>12.86</c:v>
                </c:pt>
                <c:pt idx="17">
                  <c:v>12.86</c:v>
                </c:pt>
                <c:pt idx="18">
                  <c:v>10.288</c:v>
                </c:pt>
                <c:pt idx="19">
                  <c:v>10.288</c:v>
                </c:pt>
                <c:pt idx="20">
                  <c:v>10.288</c:v>
                </c:pt>
                <c:pt idx="21">
                  <c:v>10.288</c:v>
                </c:pt>
                <c:pt idx="22">
                  <c:v>10.288</c:v>
                </c:pt>
                <c:pt idx="23">
                  <c:v>10.288</c:v>
                </c:pt>
              </c:numCache>
            </c:numRef>
          </c:yVal>
        </c:ser>
        <c:ser>
          <c:idx val="2"/>
          <c:order val="2"/>
          <c:tx>
            <c:strRef>
              <c:f>'Data 1980-2008'!$C$79</c:f>
              <c:strCache>
                <c:ptCount val="1"/>
                <c:pt idx="0">
                  <c:v>Bonnie</c:v>
                </c:pt>
              </c:strCache>
            </c:strRef>
          </c:tx>
          <c:spPr>
            <a:solidFill>
              <a:srgbClr val="ff420e"/>
            </a:solidFill>
            <a:ln w="25560">
              <a:solidFill>
                <a:srgbClr val="ff420e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1980-2008'!$A$80:$A$99</c:f>
              <c:numCache>
                <c:formatCode>General</c:formatCode>
                <c:ptCount val="20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3.67</c:v>
                </c:pt>
                <c:pt idx="12">
                  <c:v>3.75</c:v>
                </c:pt>
                <c:pt idx="13">
                  <c:v>4</c:v>
                </c:pt>
                <c:pt idx="14">
                  <c:v>4.25</c:v>
                </c:pt>
                <c:pt idx="15">
                  <c:v>4.5</c:v>
                </c:pt>
                <c:pt idx="16">
                  <c:v>4.75</c:v>
                </c:pt>
                <c:pt idx="17">
                  <c:v>5</c:v>
                </c:pt>
                <c:pt idx="18">
                  <c:v>5.25</c:v>
                </c:pt>
                <c:pt idx="19">
                  <c:v>5.5</c:v>
                </c:pt>
              </c:numCache>
            </c:numRef>
          </c:xVal>
          <c:yVal>
            <c:numRef>
              <c:f>'Data 1980-2008'!$F$80:$F$99</c:f>
              <c:numCache>
                <c:formatCode>General</c:formatCode>
                <c:ptCount val="20"/>
                <c:pt idx="0">
                  <c:v>12.86</c:v>
                </c:pt>
                <c:pt idx="1">
                  <c:v>12.86</c:v>
                </c:pt>
                <c:pt idx="2">
                  <c:v>12.86</c:v>
                </c:pt>
                <c:pt idx="3">
                  <c:v>15.432</c:v>
                </c:pt>
                <c:pt idx="4">
                  <c:v>20.576</c:v>
                </c:pt>
                <c:pt idx="5">
                  <c:v>23.148</c:v>
                </c:pt>
                <c:pt idx="6">
                  <c:v>25.72</c:v>
                </c:pt>
                <c:pt idx="7">
                  <c:v>28.292</c:v>
                </c:pt>
                <c:pt idx="8">
                  <c:v>33.436</c:v>
                </c:pt>
                <c:pt idx="9">
                  <c:v>36.008</c:v>
                </c:pt>
                <c:pt idx="10">
                  <c:v>38.58</c:v>
                </c:pt>
                <c:pt idx="11">
                  <c:v>33.436</c:v>
                </c:pt>
                <c:pt idx="12">
                  <c:v>18.004</c:v>
                </c:pt>
                <c:pt idx="13">
                  <c:v>15.432</c:v>
                </c:pt>
                <c:pt idx="14">
                  <c:v>12.86</c:v>
                </c:pt>
                <c:pt idx="15">
                  <c:v>10.288</c:v>
                </c:pt>
                <c:pt idx="16">
                  <c:v>10.288</c:v>
                </c:pt>
                <c:pt idx="17">
                  <c:v>7.716</c:v>
                </c:pt>
                <c:pt idx="18">
                  <c:v>5.144</c:v>
                </c:pt>
                <c:pt idx="19">
                  <c:v>5.144</c:v>
                </c:pt>
              </c:numCache>
            </c:numRef>
          </c:yVal>
        </c:ser>
        <c:ser>
          <c:idx val="3"/>
          <c:order val="3"/>
          <c:tx>
            <c:strRef>
              <c:f>'Data 1980-2008'!$E$102</c:f>
              <c:strCache>
                <c:ptCount val="1"/>
                <c:pt idx="0">
                  <c:v>Chantal</c:v>
                </c:pt>
              </c:strCache>
            </c:strRef>
          </c:tx>
          <c:spPr>
            <a:solidFill>
              <a:srgbClr val="ffd320"/>
            </a:solidFill>
            <a:ln w="25560">
              <a:solidFill>
                <a:srgbClr val="ffd320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1980-2008'!$A$103:$A$117</c:f>
              <c:numCache>
                <c:formatCode>General</c:formatCode>
                <c:ptCount val="1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3.04</c:v>
                </c:pt>
                <c:pt idx="10">
                  <c:v>3.25</c:v>
                </c:pt>
                <c:pt idx="11">
                  <c:v>3.5</c:v>
                </c:pt>
                <c:pt idx="12">
                  <c:v>3.75</c:v>
                </c:pt>
                <c:pt idx="13">
                  <c:v>4</c:v>
                </c:pt>
                <c:pt idx="14">
                  <c:v>4.25</c:v>
                </c:pt>
              </c:numCache>
            </c:numRef>
          </c:xVal>
          <c:yVal>
            <c:numRef>
              <c:f>'Data 1980-2008'!$F$103:$F$117</c:f>
              <c:numCache>
                <c:formatCode>General</c:formatCode>
                <c:ptCount val="15"/>
                <c:pt idx="0">
                  <c:v>10.288</c:v>
                </c:pt>
                <c:pt idx="1">
                  <c:v>12.86</c:v>
                </c:pt>
                <c:pt idx="2">
                  <c:v>15.432</c:v>
                </c:pt>
                <c:pt idx="3">
                  <c:v>18.004</c:v>
                </c:pt>
                <c:pt idx="4">
                  <c:v>25.72</c:v>
                </c:pt>
                <c:pt idx="5">
                  <c:v>28.292</c:v>
                </c:pt>
                <c:pt idx="6">
                  <c:v>33.436</c:v>
                </c:pt>
                <c:pt idx="7">
                  <c:v>36.008</c:v>
                </c:pt>
                <c:pt idx="8">
                  <c:v>36.008</c:v>
                </c:pt>
                <c:pt idx="9">
                  <c:v>25.72</c:v>
                </c:pt>
                <c:pt idx="10">
                  <c:v>18.004</c:v>
                </c:pt>
                <c:pt idx="11">
                  <c:v>12.86</c:v>
                </c:pt>
                <c:pt idx="12">
                  <c:v>10.288</c:v>
                </c:pt>
                <c:pt idx="13">
                  <c:v>10.288</c:v>
                </c:pt>
                <c:pt idx="14">
                  <c:v>10.288</c:v>
                </c:pt>
              </c:numCache>
            </c:numRef>
          </c:yVal>
        </c:ser>
        <c:ser>
          <c:idx val="4"/>
          <c:order val="4"/>
          <c:tx>
            <c:strRef>
              <c:f>'Data 1980-2008'!$E$120</c:f>
              <c:strCache>
                <c:ptCount val="1"/>
                <c:pt idx="0">
                  <c:v>Jerry</c:v>
                </c:pt>
              </c:strCache>
            </c:strRef>
          </c:tx>
          <c:spPr>
            <a:solidFill>
              <a:srgbClr val="579d1c"/>
            </a:solidFill>
            <a:ln w="25560">
              <a:solidFill>
                <a:srgbClr val="579d1c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1980-2008'!$A$121:$A$138</c:f>
              <c:numCache>
                <c:formatCode>General</c:formatCode>
                <c:ptCount val="1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4.38</c:v>
                </c:pt>
                <c:pt idx="15">
                  <c:v>4.5</c:v>
                </c:pt>
                <c:pt idx="16">
                  <c:v>4.51</c:v>
                </c:pt>
                <c:pt idx="17">
                  <c:v>4.75</c:v>
                </c:pt>
              </c:numCache>
            </c:numRef>
          </c:xVal>
          <c:yVal>
            <c:numRef>
              <c:f>'Data 1980-2008'!$F$121:$F$138</c:f>
              <c:numCache>
                <c:formatCode>General</c:formatCode>
                <c:ptCount val="18"/>
                <c:pt idx="0">
                  <c:v>12.86</c:v>
                </c:pt>
                <c:pt idx="1">
                  <c:v>15.432</c:v>
                </c:pt>
                <c:pt idx="2">
                  <c:v>18.004</c:v>
                </c:pt>
                <c:pt idx="3">
                  <c:v>20.576</c:v>
                </c:pt>
                <c:pt idx="4">
                  <c:v>23.148</c:v>
                </c:pt>
                <c:pt idx="5">
                  <c:v>25.72</c:v>
                </c:pt>
                <c:pt idx="6">
                  <c:v>28.292</c:v>
                </c:pt>
                <c:pt idx="7">
                  <c:v>28.292</c:v>
                </c:pt>
                <c:pt idx="8">
                  <c:v>28.292</c:v>
                </c:pt>
                <c:pt idx="9">
                  <c:v>28.292</c:v>
                </c:pt>
                <c:pt idx="10">
                  <c:v>28.292</c:v>
                </c:pt>
                <c:pt idx="11">
                  <c:v>28.292</c:v>
                </c:pt>
                <c:pt idx="12">
                  <c:v>30.864</c:v>
                </c:pt>
                <c:pt idx="13">
                  <c:v>33.436</c:v>
                </c:pt>
                <c:pt idx="14">
                  <c:v>38.58</c:v>
                </c:pt>
                <c:pt idx="15">
                  <c:v>18.004</c:v>
                </c:pt>
                <c:pt idx="16">
                  <c:v>10.288</c:v>
                </c:pt>
                <c:pt idx="17">
                  <c:v>7.716</c:v>
                </c:pt>
              </c:numCache>
            </c:numRef>
          </c:yVal>
        </c:ser>
        <c:ser>
          <c:idx val="5"/>
          <c:order val="5"/>
          <c:tx>
            <c:strRef>
              <c:f>'Data 1980-2008'!$E$142</c:f>
              <c:strCache>
                <c:ptCount val="1"/>
                <c:pt idx="0">
                  <c:v>Bret</c:v>
                </c:pt>
              </c:strCache>
            </c:strRef>
          </c:tx>
          <c:spPr>
            <a:solidFill>
              <a:srgbClr val="7e0021"/>
            </a:solidFill>
            <a:ln w="25560">
              <a:solidFill>
                <a:srgbClr val="7e0021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1980-2008'!$A$143:$A$168</c:f>
              <c:numCache>
                <c:formatCode>General</c:formatCode>
                <c:ptCount val="2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</c:numCache>
            </c:numRef>
          </c:xVal>
          <c:yVal>
            <c:numRef>
              <c:f>'Data 1980-2008'!$F$143:$F$168</c:f>
              <c:numCache>
                <c:formatCode>General</c:formatCode>
                <c:ptCount val="26"/>
                <c:pt idx="0">
                  <c:v>15.432</c:v>
                </c:pt>
                <c:pt idx="1">
                  <c:v>15.432</c:v>
                </c:pt>
                <c:pt idx="2">
                  <c:v>15.432</c:v>
                </c:pt>
                <c:pt idx="3">
                  <c:v>15.432</c:v>
                </c:pt>
                <c:pt idx="4">
                  <c:v>18.004</c:v>
                </c:pt>
                <c:pt idx="5">
                  <c:v>20.576</c:v>
                </c:pt>
                <c:pt idx="6">
                  <c:v>23.148</c:v>
                </c:pt>
                <c:pt idx="7">
                  <c:v>25.72</c:v>
                </c:pt>
                <c:pt idx="8">
                  <c:v>28.292</c:v>
                </c:pt>
                <c:pt idx="9">
                  <c:v>33.436</c:v>
                </c:pt>
                <c:pt idx="10">
                  <c:v>38.58</c:v>
                </c:pt>
                <c:pt idx="11">
                  <c:v>41.152</c:v>
                </c:pt>
                <c:pt idx="12">
                  <c:v>46.296</c:v>
                </c:pt>
                <c:pt idx="13">
                  <c:v>61.728</c:v>
                </c:pt>
                <c:pt idx="14">
                  <c:v>64.3</c:v>
                </c:pt>
                <c:pt idx="15">
                  <c:v>64.3</c:v>
                </c:pt>
                <c:pt idx="16">
                  <c:v>61.728</c:v>
                </c:pt>
                <c:pt idx="17">
                  <c:v>51.44</c:v>
                </c:pt>
                <c:pt idx="18">
                  <c:v>41.152</c:v>
                </c:pt>
                <c:pt idx="19">
                  <c:v>30.864</c:v>
                </c:pt>
                <c:pt idx="20">
                  <c:v>18.004</c:v>
                </c:pt>
                <c:pt idx="21">
                  <c:v>15.432</c:v>
                </c:pt>
                <c:pt idx="22">
                  <c:v>15.432</c:v>
                </c:pt>
                <c:pt idx="23">
                  <c:v>12.86</c:v>
                </c:pt>
                <c:pt idx="24">
                  <c:v>12.86</c:v>
                </c:pt>
                <c:pt idx="25">
                  <c:v>10.288</c:v>
                </c:pt>
              </c:numCache>
            </c:numRef>
          </c:yVal>
        </c:ser>
        <c:ser>
          <c:idx val="6"/>
          <c:order val="6"/>
          <c:tx>
            <c:strRef>
              <c:f>'Data 1980-2008'!$E$170</c:f>
              <c:strCache>
                <c:ptCount val="1"/>
                <c:pt idx="0">
                  <c:v>Claudette</c:v>
                </c:pt>
              </c:strCache>
            </c:strRef>
          </c:tx>
          <c:spPr>
            <a:solidFill>
              <a:srgbClr val="83caff"/>
            </a:solidFill>
            <a:ln w="25560">
              <a:solidFill>
                <a:srgbClr val="83caff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1980-2008'!$A$171:$A$215</c:f>
              <c:numCache>
                <c:formatCode>General</c:formatCode>
                <c:ptCount val="45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5.42</c:v>
                </c:pt>
                <c:pt idx="19">
                  <c:v>5.5</c:v>
                </c:pt>
                <c:pt idx="20">
                  <c:v>5.75</c:v>
                </c:pt>
                <c:pt idx="21">
                  <c:v>6</c:v>
                </c:pt>
                <c:pt idx="22">
                  <c:v>6.25</c:v>
                </c:pt>
                <c:pt idx="23">
                  <c:v>6.5</c:v>
                </c:pt>
                <c:pt idx="24">
                  <c:v>6.75</c:v>
                </c:pt>
                <c:pt idx="25">
                  <c:v>7</c:v>
                </c:pt>
                <c:pt idx="26">
                  <c:v>7.25</c:v>
                </c:pt>
                <c:pt idx="27">
                  <c:v>7.5</c:v>
                </c:pt>
                <c:pt idx="28">
                  <c:v>7.75</c:v>
                </c:pt>
                <c:pt idx="29">
                  <c:v>8</c:v>
                </c:pt>
                <c:pt idx="30">
                  <c:v>8.25</c:v>
                </c:pt>
                <c:pt idx="31">
                  <c:v>8.5</c:v>
                </c:pt>
                <c:pt idx="32">
                  <c:v>8.75</c:v>
                </c:pt>
                <c:pt idx="33">
                  <c:v>9</c:v>
                </c:pt>
                <c:pt idx="34">
                  <c:v>9.25</c:v>
                </c:pt>
                <c:pt idx="35">
                  <c:v>9.5</c:v>
                </c:pt>
                <c:pt idx="36">
                  <c:v>9.64</c:v>
                </c:pt>
                <c:pt idx="37">
                  <c:v>9.75</c:v>
                </c:pt>
                <c:pt idx="38">
                  <c:v>10</c:v>
                </c:pt>
                <c:pt idx="39">
                  <c:v>10.25</c:v>
                </c:pt>
                <c:pt idx="40">
                  <c:v>10.5</c:v>
                </c:pt>
                <c:pt idx="41">
                  <c:v>10.75</c:v>
                </c:pt>
                <c:pt idx="42">
                  <c:v>11</c:v>
                </c:pt>
                <c:pt idx="43">
                  <c:v>11.25</c:v>
                </c:pt>
                <c:pt idx="44">
                  <c:v>11.5</c:v>
                </c:pt>
              </c:numCache>
            </c:numRef>
          </c:xVal>
          <c:yVal>
            <c:numRef>
              <c:f>'Data 1980-2008'!$F$171:$F$215</c:f>
              <c:numCache>
                <c:formatCode>General</c:formatCode>
                <c:ptCount val="45"/>
                <c:pt idx="0">
                  <c:v>12.86</c:v>
                </c:pt>
                <c:pt idx="1">
                  <c:v>15.432</c:v>
                </c:pt>
                <c:pt idx="2">
                  <c:v>15.432</c:v>
                </c:pt>
                <c:pt idx="3">
                  <c:v>18.004</c:v>
                </c:pt>
                <c:pt idx="4">
                  <c:v>18.004</c:v>
                </c:pt>
                <c:pt idx="5">
                  <c:v>20.576</c:v>
                </c:pt>
                <c:pt idx="6">
                  <c:v>20.576</c:v>
                </c:pt>
                <c:pt idx="7">
                  <c:v>23.148</c:v>
                </c:pt>
                <c:pt idx="8">
                  <c:v>25.72</c:v>
                </c:pt>
                <c:pt idx="9">
                  <c:v>30.864</c:v>
                </c:pt>
                <c:pt idx="10">
                  <c:v>28.292</c:v>
                </c:pt>
                <c:pt idx="11">
                  <c:v>28.292</c:v>
                </c:pt>
                <c:pt idx="12">
                  <c:v>28.292</c:v>
                </c:pt>
                <c:pt idx="13">
                  <c:v>28.292</c:v>
                </c:pt>
                <c:pt idx="14">
                  <c:v>36.008</c:v>
                </c:pt>
                <c:pt idx="15">
                  <c:v>28.292</c:v>
                </c:pt>
                <c:pt idx="16">
                  <c:v>25.72</c:v>
                </c:pt>
                <c:pt idx="17">
                  <c:v>25.72</c:v>
                </c:pt>
                <c:pt idx="18">
                  <c:v>25.72</c:v>
                </c:pt>
                <c:pt idx="19">
                  <c:v>25.72</c:v>
                </c:pt>
                <c:pt idx="20">
                  <c:v>23.148</c:v>
                </c:pt>
                <c:pt idx="21">
                  <c:v>23.148</c:v>
                </c:pt>
                <c:pt idx="22">
                  <c:v>23.148</c:v>
                </c:pt>
                <c:pt idx="23">
                  <c:v>23.148</c:v>
                </c:pt>
                <c:pt idx="24">
                  <c:v>23.148</c:v>
                </c:pt>
                <c:pt idx="25">
                  <c:v>23.148</c:v>
                </c:pt>
                <c:pt idx="26">
                  <c:v>23.148</c:v>
                </c:pt>
                <c:pt idx="27">
                  <c:v>25.72</c:v>
                </c:pt>
                <c:pt idx="28">
                  <c:v>25.72</c:v>
                </c:pt>
                <c:pt idx="29">
                  <c:v>28.292</c:v>
                </c:pt>
                <c:pt idx="30">
                  <c:v>28.292</c:v>
                </c:pt>
                <c:pt idx="31">
                  <c:v>28.292</c:v>
                </c:pt>
                <c:pt idx="32">
                  <c:v>30.864</c:v>
                </c:pt>
                <c:pt idx="33">
                  <c:v>30.864</c:v>
                </c:pt>
                <c:pt idx="34">
                  <c:v>33.436</c:v>
                </c:pt>
                <c:pt idx="35">
                  <c:v>38.58</c:v>
                </c:pt>
                <c:pt idx="36">
                  <c:v>41.152</c:v>
                </c:pt>
                <c:pt idx="37">
                  <c:v>36.008</c:v>
                </c:pt>
                <c:pt idx="38">
                  <c:v>25.72</c:v>
                </c:pt>
                <c:pt idx="39">
                  <c:v>20.576</c:v>
                </c:pt>
                <c:pt idx="40">
                  <c:v>18.004</c:v>
                </c:pt>
                <c:pt idx="41">
                  <c:v>18.004</c:v>
                </c:pt>
                <c:pt idx="42">
                  <c:v>15.432</c:v>
                </c:pt>
                <c:pt idx="43">
                  <c:v>12.86</c:v>
                </c:pt>
                <c:pt idx="44">
                  <c:v>12.86</c:v>
                </c:pt>
              </c:numCache>
            </c:numRef>
          </c:yVal>
        </c:ser>
        <c:ser>
          <c:idx val="7"/>
          <c:order val="7"/>
          <c:tx>
            <c:strRef>
              <c:f>'Data 1980-2008'!$E$217</c:f>
              <c:strCache>
                <c:ptCount val="1"/>
                <c:pt idx="0">
                  <c:v>Rita</c:v>
                </c:pt>
              </c:strCache>
            </c:strRef>
          </c:tx>
          <c:spPr>
            <a:solidFill>
              <a:srgbClr val="314004"/>
            </a:solidFill>
            <a:ln w="25560">
              <a:solidFill>
                <a:srgbClr val="314004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1980-2008'!$A$218:$A$253</c:f>
              <c:numCache>
                <c:formatCode>General</c:formatCode>
                <c:ptCount val="36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5.13</c:v>
                </c:pt>
                <c:pt idx="18">
                  <c:v>5.25</c:v>
                </c:pt>
                <c:pt idx="19">
                  <c:v>5.5</c:v>
                </c:pt>
                <c:pt idx="20">
                  <c:v>5.75</c:v>
                </c:pt>
                <c:pt idx="21">
                  <c:v>6</c:v>
                </c:pt>
                <c:pt idx="22">
                  <c:v>6.25</c:v>
                </c:pt>
                <c:pt idx="23">
                  <c:v>6.5</c:v>
                </c:pt>
                <c:pt idx="24">
                  <c:v>6.75</c:v>
                </c:pt>
                <c:pt idx="25">
                  <c:v>7</c:v>
                </c:pt>
                <c:pt idx="26">
                  <c:v>7.25</c:v>
                </c:pt>
                <c:pt idx="27">
                  <c:v>7.3</c:v>
                </c:pt>
                <c:pt idx="28">
                  <c:v>7.5</c:v>
                </c:pt>
                <c:pt idx="29">
                  <c:v>7.75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</c:numCache>
            </c:numRef>
          </c:xVal>
          <c:yVal>
            <c:numRef>
              <c:f>'Data 1980-2008'!$F$218:$F$253</c:f>
              <c:numCache>
                <c:formatCode>General</c:formatCode>
                <c:ptCount val="36"/>
                <c:pt idx="0">
                  <c:v>12.86</c:v>
                </c:pt>
                <c:pt idx="1">
                  <c:v>12.86</c:v>
                </c:pt>
                <c:pt idx="2">
                  <c:v>15.432</c:v>
                </c:pt>
                <c:pt idx="3">
                  <c:v>18.004</c:v>
                </c:pt>
                <c:pt idx="4">
                  <c:v>23.148</c:v>
                </c:pt>
                <c:pt idx="5">
                  <c:v>25.72</c:v>
                </c:pt>
                <c:pt idx="6">
                  <c:v>28.292</c:v>
                </c:pt>
                <c:pt idx="7">
                  <c:v>30.864</c:v>
                </c:pt>
                <c:pt idx="8">
                  <c:v>30.864</c:v>
                </c:pt>
                <c:pt idx="9">
                  <c:v>30.864</c:v>
                </c:pt>
                <c:pt idx="10">
                  <c:v>36.008</c:v>
                </c:pt>
                <c:pt idx="11">
                  <c:v>43.724</c:v>
                </c:pt>
                <c:pt idx="12">
                  <c:v>48.868</c:v>
                </c:pt>
                <c:pt idx="13">
                  <c:v>56.584</c:v>
                </c:pt>
                <c:pt idx="14">
                  <c:v>61.728</c:v>
                </c:pt>
                <c:pt idx="15">
                  <c:v>74.588</c:v>
                </c:pt>
                <c:pt idx="16">
                  <c:v>77.16</c:v>
                </c:pt>
                <c:pt idx="17">
                  <c:v>79.732</c:v>
                </c:pt>
                <c:pt idx="18">
                  <c:v>79.732</c:v>
                </c:pt>
                <c:pt idx="19">
                  <c:v>72.016</c:v>
                </c:pt>
                <c:pt idx="20">
                  <c:v>64.3</c:v>
                </c:pt>
                <c:pt idx="21">
                  <c:v>61.728</c:v>
                </c:pt>
                <c:pt idx="22">
                  <c:v>59.156</c:v>
                </c:pt>
                <c:pt idx="23">
                  <c:v>59.156</c:v>
                </c:pt>
                <c:pt idx="24">
                  <c:v>56.584</c:v>
                </c:pt>
                <c:pt idx="25">
                  <c:v>54.012</c:v>
                </c:pt>
                <c:pt idx="26">
                  <c:v>51.44</c:v>
                </c:pt>
                <c:pt idx="27">
                  <c:v>51.44</c:v>
                </c:pt>
                <c:pt idx="28">
                  <c:v>33.436</c:v>
                </c:pt>
                <c:pt idx="29">
                  <c:v>23.148</c:v>
                </c:pt>
                <c:pt idx="30">
                  <c:v>18.004</c:v>
                </c:pt>
                <c:pt idx="31">
                  <c:v>15.432</c:v>
                </c:pt>
                <c:pt idx="32">
                  <c:v>12.86</c:v>
                </c:pt>
                <c:pt idx="33">
                  <c:v>12.86</c:v>
                </c:pt>
                <c:pt idx="34">
                  <c:v>10.288</c:v>
                </c:pt>
                <c:pt idx="35">
                  <c:v>10.288</c:v>
                </c:pt>
              </c:numCache>
            </c:numRef>
          </c:yVal>
        </c:ser>
        <c:ser>
          <c:idx val="8"/>
          <c:order val="8"/>
          <c:tx>
            <c:strRef>
              <c:f>'Data 1980-2008'!$E$255</c:f>
              <c:strCache>
                <c:ptCount val="1"/>
                <c:pt idx="0">
                  <c:v>Humberto</c:v>
                </c:pt>
              </c:strCache>
            </c:strRef>
          </c:tx>
          <c:spPr>
            <a:solidFill>
              <a:srgbClr val="aecf00"/>
            </a:solidFill>
            <a:ln w="25560">
              <a:solidFill>
                <a:srgbClr val="aecf00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1980-2008'!$A$256:$A$266</c:f>
              <c:numCache>
                <c:formatCode>General</c:formatCode>
                <c:ptCount val="11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2.04</c:v>
                </c:pt>
                <c:pt idx="6">
                  <c:v>2.25</c:v>
                </c:pt>
                <c:pt idx="7">
                  <c:v>2.5</c:v>
                </c:pt>
                <c:pt idx="8">
                  <c:v>2.75</c:v>
                </c:pt>
                <c:pt idx="9">
                  <c:v>3</c:v>
                </c:pt>
                <c:pt idx="10">
                  <c:v>3.25</c:v>
                </c:pt>
              </c:numCache>
            </c:numRef>
          </c:xVal>
          <c:yVal>
            <c:numRef>
              <c:f>'Data 1980-2008'!$F$256:$F$266</c:f>
              <c:numCache>
                <c:formatCode>General</c:formatCode>
                <c:ptCount val="11"/>
                <c:pt idx="0">
                  <c:v>12.86</c:v>
                </c:pt>
                <c:pt idx="1">
                  <c:v>18.004</c:v>
                </c:pt>
                <c:pt idx="2">
                  <c:v>23.148</c:v>
                </c:pt>
                <c:pt idx="3">
                  <c:v>28.292</c:v>
                </c:pt>
                <c:pt idx="4">
                  <c:v>41.152</c:v>
                </c:pt>
                <c:pt idx="5">
                  <c:v>41.152</c:v>
                </c:pt>
                <c:pt idx="6">
                  <c:v>33.436</c:v>
                </c:pt>
                <c:pt idx="7">
                  <c:v>18.004</c:v>
                </c:pt>
                <c:pt idx="8">
                  <c:v>12.86</c:v>
                </c:pt>
                <c:pt idx="9">
                  <c:v>10.288</c:v>
                </c:pt>
                <c:pt idx="10">
                  <c:v>10.288</c:v>
                </c:pt>
              </c:numCache>
            </c:numRef>
          </c:yVal>
        </c:ser>
        <c:ser>
          <c:idx val="9"/>
          <c:order val="9"/>
          <c:tx>
            <c:strRef>
              <c:f>'Data 1980-2008'!$E$268</c:f>
              <c:strCache>
                <c:ptCount val="1"/>
                <c:pt idx="0">
                  <c:v>Dolly</c:v>
                </c:pt>
              </c:strCache>
            </c:strRef>
          </c:tx>
          <c:spPr>
            <a:solidFill>
              <a:srgbClr val="4b1f6f"/>
            </a:solidFill>
            <a:ln w="25560">
              <a:solidFill>
                <a:srgbClr val="4b1f6f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1980-2008'!$A$269:$A$296</c:f>
              <c:numCache>
                <c:formatCode>General</c:formatCode>
                <c:ptCount val="2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1.72</c:v>
                </c:pt>
                <c:pt idx="4">
                  <c:v>1.75</c:v>
                </c:pt>
                <c:pt idx="5">
                  <c:v>2</c:v>
                </c:pt>
                <c:pt idx="6">
                  <c:v>2.25</c:v>
                </c:pt>
                <c:pt idx="7">
                  <c:v>2.5</c:v>
                </c:pt>
                <c:pt idx="8">
                  <c:v>2.75</c:v>
                </c:pt>
                <c:pt idx="9">
                  <c:v>3</c:v>
                </c:pt>
                <c:pt idx="10">
                  <c:v>3.25</c:v>
                </c:pt>
                <c:pt idx="11">
                  <c:v>3.5</c:v>
                </c:pt>
                <c:pt idx="12">
                  <c:v>3.75</c:v>
                </c:pt>
                <c:pt idx="13">
                  <c:v>4</c:v>
                </c:pt>
                <c:pt idx="14">
                  <c:v>4.08</c:v>
                </c:pt>
                <c:pt idx="15">
                  <c:v>4.25</c:v>
                </c:pt>
                <c:pt idx="16">
                  <c:v>4.25</c:v>
                </c:pt>
                <c:pt idx="17">
                  <c:v>4.33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</c:numCache>
            </c:numRef>
          </c:xVal>
          <c:yVal>
            <c:numRef>
              <c:f>'Data 1980-2008'!$F$269:$F$296</c:f>
              <c:numCache>
                <c:formatCode>General</c:formatCode>
                <c:ptCount val="28"/>
                <c:pt idx="0">
                  <c:v>20.576</c:v>
                </c:pt>
                <c:pt idx="1">
                  <c:v>20.576</c:v>
                </c:pt>
                <c:pt idx="2">
                  <c:v>23.148</c:v>
                </c:pt>
                <c:pt idx="3">
                  <c:v>23.148</c:v>
                </c:pt>
                <c:pt idx="4">
                  <c:v>23.148</c:v>
                </c:pt>
                <c:pt idx="5">
                  <c:v>23.148</c:v>
                </c:pt>
                <c:pt idx="6">
                  <c:v>23.148</c:v>
                </c:pt>
                <c:pt idx="7">
                  <c:v>23.148</c:v>
                </c:pt>
                <c:pt idx="8">
                  <c:v>23.148</c:v>
                </c:pt>
                <c:pt idx="9">
                  <c:v>28.292</c:v>
                </c:pt>
                <c:pt idx="10">
                  <c:v>30.864</c:v>
                </c:pt>
                <c:pt idx="11">
                  <c:v>33.436</c:v>
                </c:pt>
                <c:pt idx="12">
                  <c:v>36.008</c:v>
                </c:pt>
                <c:pt idx="13">
                  <c:v>43.724</c:v>
                </c:pt>
                <c:pt idx="14">
                  <c:v>43.724</c:v>
                </c:pt>
                <c:pt idx="15">
                  <c:v>38.58</c:v>
                </c:pt>
                <c:pt idx="16">
                  <c:v>38.58</c:v>
                </c:pt>
                <c:pt idx="17">
                  <c:v>36.008</c:v>
                </c:pt>
                <c:pt idx="18">
                  <c:v>33.436</c:v>
                </c:pt>
                <c:pt idx="19">
                  <c:v>28.292</c:v>
                </c:pt>
                <c:pt idx="20">
                  <c:v>23.148</c:v>
                </c:pt>
                <c:pt idx="21">
                  <c:v>18.004</c:v>
                </c:pt>
                <c:pt idx="22">
                  <c:v>10.288</c:v>
                </c:pt>
                <c:pt idx="23">
                  <c:v>12.86</c:v>
                </c:pt>
                <c:pt idx="24">
                  <c:v>12.86</c:v>
                </c:pt>
                <c:pt idx="25">
                  <c:v>12.86</c:v>
                </c:pt>
                <c:pt idx="26">
                  <c:v>10.288</c:v>
                </c:pt>
                <c:pt idx="27">
                  <c:v>10.288</c:v>
                </c:pt>
              </c:numCache>
            </c:numRef>
          </c:yVal>
        </c:ser>
        <c:ser>
          <c:idx val="10"/>
          <c:order val="10"/>
          <c:tx>
            <c:strRef>
              <c:f>'Data 1980-2008'!$E$301</c:f>
              <c:strCache>
                <c:ptCount val="1"/>
                <c:pt idx="0">
                  <c:v>Ike</c:v>
                </c:pt>
              </c:strCache>
            </c:strRef>
          </c:tx>
          <c:spPr>
            <a:solidFill>
              <a:srgbClr val="ff950e"/>
            </a:solidFill>
            <a:ln w="25560">
              <a:solidFill>
                <a:srgbClr val="ff950e"/>
              </a:solidFill>
              <a:round/>
            </a:ln>
          </c:spPr>
          <c:marker>
            <c:symbol val="none"/>
          </c:marker>
          <c:smooth val="1"/>
          <c:xVal>
            <c:numRef>
              <c:f>'Data 1980-2008'!$A$302:$A$363</c:f>
              <c:numCache>
                <c:formatCode>General</c:formatCode>
                <c:ptCount val="62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7.29</c:v>
                </c:pt>
                <c:pt idx="27">
                  <c:v>7.5</c:v>
                </c:pt>
                <c:pt idx="28">
                  <c:v>7.75</c:v>
                </c:pt>
                <c:pt idx="29">
                  <c:v>7.83</c:v>
                </c:pt>
                <c:pt idx="30">
                  <c:v>8</c:v>
                </c:pt>
                <c:pt idx="31">
                  <c:v>8.25</c:v>
                </c:pt>
                <c:pt idx="32">
                  <c:v>8.5</c:v>
                </c:pt>
                <c:pt idx="33">
                  <c:v>8.75</c:v>
                </c:pt>
                <c:pt idx="34">
                  <c:v>9</c:v>
                </c:pt>
                <c:pt idx="35">
                  <c:v>9.25</c:v>
                </c:pt>
                <c:pt idx="36">
                  <c:v>9.33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  <c:pt idx="46">
                  <c:v>11.75</c:v>
                </c:pt>
                <c:pt idx="47">
                  <c:v>12</c:v>
                </c:pt>
                <c:pt idx="48">
                  <c:v>12.25</c:v>
                </c:pt>
                <c:pt idx="49">
                  <c:v>12.5</c:v>
                </c:pt>
                <c:pt idx="50">
                  <c:v>12.75</c:v>
                </c:pt>
                <c:pt idx="51">
                  <c:v>13</c:v>
                </c:pt>
                <c:pt idx="52">
                  <c:v>13.04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</c:numCache>
            </c:numRef>
          </c:xVal>
          <c:yVal>
            <c:numRef>
              <c:f>'Data 1980-2008'!$F$302:$F$363</c:f>
              <c:numCache>
                <c:formatCode>General</c:formatCode>
                <c:ptCount val="62"/>
                <c:pt idx="0">
                  <c:v>15.432</c:v>
                </c:pt>
                <c:pt idx="1">
                  <c:v>18.004</c:v>
                </c:pt>
                <c:pt idx="2">
                  <c:v>23.148</c:v>
                </c:pt>
                <c:pt idx="3">
                  <c:v>23.148</c:v>
                </c:pt>
                <c:pt idx="4">
                  <c:v>23.148</c:v>
                </c:pt>
                <c:pt idx="5">
                  <c:v>25.72</c:v>
                </c:pt>
                <c:pt idx="6">
                  <c:v>28.292</c:v>
                </c:pt>
                <c:pt idx="7">
                  <c:v>28.292</c:v>
                </c:pt>
                <c:pt idx="8">
                  <c:v>28.292</c:v>
                </c:pt>
                <c:pt idx="9">
                  <c:v>30.864</c:v>
                </c:pt>
                <c:pt idx="10">
                  <c:v>38.58</c:v>
                </c:pt>
                <c:pt idx="11">
                  <c:v>54.012</c:v>
                </c:pt>
                <c:pt idx="12">
                  <c:v>64.3</c:v>
                </c:pt>
                <c:pt idx="13">
                  <c:v>61.728</c:v>
                </c:pt>
                <c:pt idx="14">
                  <c:v>59.156</c:v>
                </c:pt>
                <c:pt idx="15">
                  <c:v>59.156</c:v>
                </c:pt>
                <c:pt idx="16">
                  <c:v>59.156</c:v>
                </c:pt>
                <c:pt idx="17">
                  <c:v>54.012</c:v>
                </c:pt>
                <c:pt idx="18">
                  <c:v>51.44</c:v>
                </c:pt>
                <c:pt idx="19">
                  <c:v>51.44</c:v>
                </c:pt>
                <c:pt idx="20">
                  <c:v>51.44</c:v>
                </c:pt>
                <c:pt idx="21">
                  <c:v>48.868</c:v>
                </c:pt>
                <c:pt idx="22">
                  <c:v>59.156</c:v>
                </c:pt>
                <c:pt idx="23">
                  <c:v>59.156</c:v>
                </c:pt>
                <c:pt idx="24">
                  <c:v>59.156</c:v>
                </c:pt>
                <c:pt idx="25">
                  <c:v>56.584</c:v>
                </c:pt>
                <c:pt idx="26">
                  <c:v>56.584</c:v>
                </c:pt>
                <c:pt idx="27">
                  <c:v>54.012</c:v>
                </c:pt>
                <c:pt idx="28">
                  <c:v>59.156</c:v>
                </c:pt>
                <c:pt idx="29">
                  <c:v>59.156</c:v>
                </c:pt>
                <c:pt idx="30">
                  <c:v>51.44</c:v>
                </c:pt>
                <c:pt idx="31">
                  <c:v>43.724</c:v>
                </c:pt>
                <c:pt idx="32">
                  <c:v>38.58</c:v>
                </c:pt>
                <c:pt idx="33">
                  <c:v>36.008</c:v>
                </c:pt>
                <c:pt idx="34">
                  <c:v>36.008</c:v>
                </c:pt>
                <c:pt idx="35">
                  <c:v>36.008</c:v>
                </c:pt>
                <c:pt idx="36">
                  <c:v>36.008</c:v>
                </c:pt>
                <c:pt idx="37">
                  <c:v>33.436</c:v>
                </c:pt>
                <c:pt idx="38">
                  <c:v>33.436</c:v>
                </c:pt>
                <c:pt idx="39">
                  <c:v>36.008</c:v>
                </c:pt>
                <c:pt idx="40">
                  <c:v>41.152</c:v>
                </c:pt>
                <c:pt idx="41">
                  <c:v>43.724</c:v>
                </c:pt>
                <c:pt idx="42">
                  <c:v>43.724</c:v>
                </c:pt>
                <c:pt idx="43">
                  <c:v>43.724</c:v>
                </c:pt>
                <c:pt idx="44">
                  <c:v>43.724</c:v>
                </c:pt>
                <c:pt idx="45">
                  <c:v>43.724</c:v>
                </c:pt>
                <c:pt idx="46">
                  <c:v>43.724</c:v>
                </c:pt>
                <c:pt idx="47">
                  <c:v>46.296</c:v>
                </c:pt>
                <c:pt idx="48">
                  <c:v>48.868</c:v>
                </c:pt>
                <c:pt idx="49">
                  <c:v>48.868</c:v>
                </c:pt>
                <c:pt idx="50">
                  <c:v>48.868</c:v>
                </c:pt>
                <c:pt idx="51">
                  <c:v>48.868</c:v>
                </c:pt>
                <c:pt idx="52">
                  <c:v>48.868</c:v>
                </c:pt>
                <c:pt idx="53">
                  <c:v>43.724</c:v>
                </c:pt>
                <c:pt idx="54">
                  <c:v>25.72</c:v>
                </c:pt>
                <c:pt idx="55">
                  <c:v>18.004</c:v>
                </c:pt>
                <c:pt idx="56">
                  <c:v>18.004</c:v>
                </c:pt>
                <c:pt idx="57">
                  <c:v>20.576</c:v>
                </c:pt>
                <c:pt idx="58">
                  <c:v>25.72</c:v>
                </c:pt>
                <c:pt idx="59">
                  <c:v>25.72</c:v>
                </c:pt>
                <c:pt idx="60">
                  <c:v>20.576</c:v>
                </c:pt>
                <c:pt idx="61">
                  <c:v>18.004</c:v>
                </c:pt>
              </c:numCache>
            </c:numRef>
          </c:yVal>
        </c:ser>
        <c:axId val="14583905"/>
        <c:axId val="89079710"/>
      </c:scatterChart>
      <c:valAx>
        <c:axId val="14583905"/>
        <c:scaling>
          <c:orientation val="minMax"/>
          <c:max val="16"/>
          <c:min val="0"/>
        </c:scaling>
        <c:delete val="0"/>
        <c:axPos val="b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Days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89079710"/>
        <c:crossesAt val="0"/>
        <c:majorUnit val="1"/>
        <c:minorUnit val="1"/>
      </c:valAx>
      <c:valAx>
        <c:axId val="89079710"/>
        <c:scaling>
          <c:orientation val="minMax"/>
        </c:scaling>
        <c:delete val="0"/>
        <c:axPos val="l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Speed (meters/sec)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14583905"/>
        <c:crossesAt val="0"/>
      </c:valAx>
      <c:spPr>
        <a:noFill/>
        <a:ln w="3240">
          <a:solidFill>
            <a:srgbClr val="b3b3b3"/>
          </a:solidFill>
          <a:round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b="1">
                <a:solidFill>
                  <a:srgbClr val="003300"/>
                </a:solidFill>
                <a:latin typeface="宋体"/>
                <a:ea typeface="宋体"/>
              </a:rPr>
              <a:t>Average Wind Speed</a:t>
            </a:r>
          </a:p>
        </c:rich>
      </c:tx>
      <c:layout/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'Texas Hurricanes'!$A$1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004586"/>
            </a:solidFill>
            <a:ln w="25560">
              <a:solidFill>
                <a:srgbClr val="004586"/>
              </a:solidFill>
              <a:round/>
            </a:ln>
          </c:spPr>
          <c:marker>
            <c:symbol val="none"/>
          </c:marker>
          <c:smooth val="1"/>
          <c:xVal>
            <c:numRef>
              <c:f>'Avg. Data'!$C$1:$BV$1</c:f>
              <c:numCache>
                <c:formatCode>General</c:formatCode>
                <c:ptCount val="72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  <c:pt idx="38">
                  <c:v>10.5</c:v>
                </c:pt>
                <c:pt idx="39">
                  <c:v>10.75</c:v>
                </c:pt>
                <c:pt idx="40">
                  <c:v>11</c:v>
                </c:pt>
                <c:pt idx="41">
                  <c:v>11.25</c:v>
                </c:pt>
                <c:pt idx="42">
                  <c:v>11.5</c:v>
                </c:pt>
                <c:pt idx="43">
                  <c:v>11.75</c:v>
                </c:pt>
                <c:pt idx="44">
                  <c:v>12</c:v>
                </c:pt>
                <c:pt idx="45">
                  <c:v>12.25</c:v>
                </c:pt>
                <c:pt idx="46">
                  <c:v>12.5</c:v>
                </c:pt>
                <c:pt idx="47">
                  <c:v>12.75</c:v>
                </c:pt>
                <c:pt idx="48">
                  <c:v>13</c:v>
                </c:pt>
                <c:pt idx="49">
                  <c:v>13.25</c:v>
                </c:pt>
                <c:pt idx="50">
                  <c:v>13.5</c:v>
                </c:pt>
                <c:pt idx="51">
                  <c:v>13.75</c:v>
                </c:pt>
                <c:pt idx="52">
                  <c:v>14</c:v>
                </c:pt>
                <c:pt idx="53">
                  <c:v>14.25</c:v>
                </c:pt>
                <c:pt idx="54">
                  <c:v>14.5</c:v>
                </c:pt>
                <c:pt idx="55">
                  <c:v>14.75</c:v>
                </c:pt>
                <c:pt idx="56">
                  <c:v>15</c:v>
                </c:pt>
                <c:pt idx="57">
                  <c:v>15.25</c:v>
                </c:pt>
                <c:pt idx="58">
                  <c:v>15.5</c:v>
                </c:pt>
                <c:pt idx="59">
                  <c:v>15.75</c:v>
                </c:pt>
                <c:pt idx="60">
                  <c:v>16</c:v>
                </c:pt>
                <c:pt idx="61">
                  <c:v>16.25</c:v>
                </c:pt>
                <c:pt idx="62">
                  <c:v>16.5</c:v>
                </c:pt>
                <c:pt idx="63">
                  <c:v>16.75</c:v>
                </c:pt>
                <c:pt idx="64">
                  <c:v>17</c:v>
                </c:pt>
                <c:pt idx="65">
                  <c:v>17.25</c:v>
                </c:pt>
                <c:pt idx="66">
                  <c:v>17.5</c:v>
                </c:pt>
                <c:pt idx="67">
                  <c:v>17.75</c:v>
                </c:pt>
                <c:pt idx="68">
                  <c:v>18</c:v>
                </c:pt>
                <c:pt idx="69">
                  <c:v>18.25</c:v>
                </c:pt>
                <c:pt idx="70">
                  <c:v>18.5</c:v>
                </c:pt>
                <c:pt idx="71">
                  <c:v>18.75</c:v>
                </c:pt>
              </c:numCache>
            </c:numRef>
          </c:xVal>
          <c:yVal>
            <c:numRef>
              <c:f>'Avg. Data'!$C$27:$BV$27</c:f>
              <c:numCache>
                <c:formatCode>General</c:formatCode>
                <c:ptCount val="72"/>
                <c:pt idx="0">
                  <c:v>14.146</c:v>
                </c:pt>
                <c:pt idx="1">
                  <c:v>18.004</c:v>
                </c:pt>
                <c:pt idx="2">
                  <c:v>18.004</c:v>
                </c:pt>
                <c:pt idx="3">
                  <c:v>19.0756666666667</c:v>
                </c:pt>
                <c:pt idx="4">
                  <c:v>20.78176</c:v>
                </c:pt>
                <c:pt idx="5">
                  <c:v>22.32496</c:v>
                </c:pt>
                <c:pt idx="6">
                  <c:v>24.79408</c:v>
                </c:pt>
                <c:pt idx="7">
                  <c:v>26.33728</c:v>
                </c:pt>
                <c:pt idx="8">
                  <c:v>28.49776</c:v>
                </c:pt>
                <c:pt idx="9">
                  <c:v>28.90928</c:v>
                </c:pt>
                <c:pt idx="10">
                  <c:v>29.8352</c:v>
                </c:pt>
                <c:pt idx="11">
                  <c:v>31.7586086956522</c:v>
                </c:pt>
                <c:pt idx="12">
                  <c:v>31.8704347826087</c:v>
                </c:pt>
                <c:pt idx="13">
                  <c:v>31.5349565217391</c:v>
                </c:pt>
                <c:pt idx="14">
                  <c:v>32.2059130434783</c:v>
                </c:pt>
                <c:pt idx="15">
                  <c:v>32.4295652173913</c:v>
                </c:pt>
                <c:pt idx="16">
                  <c:v>30.3048695652174</c:v>
                </c:pt>
                <c:pt idx="17">
                  <c:v>31.3316363636364</c:v>
                </c:pt>
                <c:pt idx="18">
                  <c:v>32.6644</c:v>
                </c:pt>
                <c:pt idx="19">
                  <c:v>32.0823157894737</c:v>
                </c:pt>
                <c:pt idx="20">
                  <c:v>32.15</c:v>
                </c:pt>
                <c:pt idx="21">
                  <c:v>30.7211111111111</c:v>
                </c:pt>
                <c:pt idx="22">
                  <c:v>33.436</c:v>
                </c:pt>
                <c:pt idx="23">
                  <c:v>35.8365333333333</c:v>
                </c:pt>
                <c:pt idx="24">
                  <c:v>39.9649230769231</c:v>
                </c:pt>
                <c:pt idx="25">
                  <c:v>39.3713846153846</c:v>
                </c:pt>
                <c:pt idx="26">
                  <c:v>39.1735384615385</c:v>
                </c:pt>
                <c:pt idx="27">
                  <c:v>41.795</c:v>
                </c:pt>
                <c:pt idx="28">
                  <c:v>42.3210909090909</c:v>
                </c:pt>
                <c:pt idx="29">
                  <c:v>41.6196363636364</c:v>
                </c:pt>
                <c:pt idx="30">
                  <c:v>40.4505454545455</c:v>
                </c:pt>
                <c:pt idx="31">
                  <c:v>37.4109090909091</c:v>
                </c:pt>
                <c:pt idx="32">
                  <c:v>35.7741818181818</c:v>
                </c:pt>
                <c:pt idx="33">
                  <c:v>35.4936</c:v>
                </c:pt>
                <c:pt idx="34">
                  <c:v>33.436</c:v>
                </c:pt>
                <c:pt idx="35">
                  <c:v>31.1212</c:v>
                </c:pt>
                <c:pt idx="36">
                  <c:v>31.7213333333333</c:v>
                </c:pt>
                <c:pt idx="37">
                  <c:v>30.864</c:v>
                </c:pt>
                <c:pt idx="38">
                  <c:v>29.4351111111111</c:v>
                </c:pt>
                <c:pt idx="39">
                  <c:v>29.1493333333333</c:v>
                </c:pt>
                <c:pt idx="40">
                  <c:v>31.1497777777778</c:v>
                </c:pt>
                <c:pt idx="41">
                  <c:v>32.793</c:v>
                </c:pt>
                <c:pt idx="42">
                  <c:v>30.4965714285714</c:v>
                </c:pt>
                <c:pt idx="43">
                  <c:v>29.0268571428571</c:v>
                </c:pt>
                <c:pt idx="44">
                  <c:v>30.0066666666667</c:v>
                </c:pt>
                <c:pt idx="45">
                  <c:v>31.3784</c:v>
                </c:pt>
                <c:pt idx="46">
                  <c:v>30.3496</c:v>
                </c:pt>
                <c:pt idx="47">
                  <c:v>28.292</c:v>
                </c:pt>
                <c:pt idx="48">
                  <c:v>26.2344</c:v>
                </c:pt>
                <c:pt idx="49">
                  <c:v>26.2344</c:v>
                </c:pt>
                <c:pt idx="50">
                  <c:v>36.008</c:v>
                </c:pt>
                <c:pt idx="51">
                  <c:v>36.008</c:v>
                </c:pt>
                <c:pt idx="52">
                  <c:v>36.8653333333333</c:v>
                </c:pt>
                <c:pt idx="53">
                  <c:v>48.868</c:v>
                </c:pt>
                <c:pt idx="54">
                  <c:v>46.296</c:v>
                </c:pt>
                <c:pt idx="55">
                  <c:v>38.58</c:v>
                </c:pt>
                <c:pt idx="56">
                  <c:v>36.008</c:v>
                </c:pt>
                <c:pt idx="57">
                  <c:v>37.294</c:v>
                </c:pt>
                <c:pt idx="58">
                  <c:v>42.438</c:v>
                </c:pt>
                <c:pt idx="59">
                  <c:v>47.582</c:v>
                </c:pt>
                <c:pt idx="60">
                  <c:v>48.868</c:v>
                </c:pt>
                <c:pt idx="61">
                  <c:v>46.296</c:v>
                </c:pt>
                <c:pt idx="62">
                  <c:v>45.01</c:v>
                </c:pt>
                <c:pt idx="63">
                  <c:v>46.296</c:v>
                </c:pt>
                <c:pt idx="64">
                  <c:v>36.008</c:v>
                </c:pt>
                <c:pt idx="65">
                  <c:v>33.436</c:v>
                </c:pt>
                <c:pt idx="66">
                  <c:v>23.148</c:v>
                </c:pt>
                <c:pt idx="67">
                  <c:v>18.004</c:v>
                </c:pt>
                <c:pt idx="68">
                  <c:v>18.004</c:v>
                </c:pt>
                <c:pt idx="69">
                  <c:v>18.004</c:v>
                </c:pt>
                <c:pt idx="70">
                  <c:v>15.432</c:v>
                </c:pt>
                <c:pt idx="71">
                  <c:v>15.432</c:v>
                </c:pt>
              </c:numCache>
            </c:numRef>
          </c:yVal>
        </c:ser>
        <c:axId val="74909099"/>
        <c:axId val="73921619"/>
      </c:scatterChart>
      <c:valAx>
        <c:axId val="74909099"/>
        <c:scaling>
          <c:orientation val="minMax"/>
        </c:scaling>
        <c:delete val="0"/>
        <c:axPos val="b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Days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73921619"/>
        <c:crossesAt val="0"/>
        <c:majorUnit val="1"/>
        <c:minorUnit val="1"/>
      </c:valAx>
      <c:valAx>
        <c:axId val="73921619"/>
        <c:scaling>
          <c:orientation val="minMax"/>
        </c:scaling>
        <c:delete val="0"/>
        <c:axPos val="l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Wind Speed (meters/sec)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74909099"/>
        <c:crossesAt val="0"/>
      </c:valAx>
      <c:spPr>
        <a:noFill/>
        <a:ln w="3240">
          <a:solidFill>
            <a:srgbClr val="b3b3b3"/>
          </a:solidFill>
          <a:round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b="1">
                <a:solidFill>
                  <a:srgbClr val="003300"/>
                </a:solidFill>
                <a:latin typeface="宋体"/>
                <a:ea typeface="宋体"/>
              </a:rPr>
              <a:t>Average Barometric Pressure</a:t>
            </a:r>
          </a:p>
        </c:rich>
      </c:tx>
      <c:layout/>
    </c:title>
    <c:plotArea>
      <c:layout/>
      <c:scatterChart>
        <c:scatterStyle val="lineMarker"/>
        <c:varyColors val="0"/>
        <c:ser>
          <c:idx val="0"/>
          <c:order val="0"/>
          <c:tx>
            <c:strRef>
              <c:f>'Texas Hurricanes'!$A$1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004586"/>
            </a:solidFill>
            <a:ln w="25560">
              <a:solidFill>
                <a:srgbClr val="004586"/>
              </a:solidFill>
              <a:round/>
            </a:ln>
          </c:spPr>
          <c:marker>
            <c:symbol val="none"/>
          </c:marker>
          <c:smooth val="1"/>
          <c:xVal>
            <c:numRef>
              <c:f>'Avg. Data'!$C$1:$BV$1</c:f>
              <c:numCache>
                <c:formatCode>General</c:formatCode>
                <c:ptCount val="72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  <c:pt idx="38">
                  <c:v>10.5</c:v>
                </c:pt>
                <c:pt idx="39">
                  <c:v>10.75</c:v>
                </c:pt>
                <c:pt idx="40">
                  <c:v>11</c:v>
                </c:pt>
                <c:pt idx="41">
                  <c:v>11.25</c:v>
                </c:pt>
                <c:pt idx="42">
                  <c:v>11.5</c:v>
                </c:pt>
                <c:pt idx="43">
                  <c:v>11.75</c:v>
                </c:pt>
                <c:pt idx="44">
                  <c:v>12</c:v>
                </c:pt>
                <c:pt idx="45">
                  <c:v>12.25</c:v>
                </c:pt>
                <c:pt idx="46">
                  <c:v>12.5</c:v>
                </c:pt>
                <c:pt idx="47">
                  <c:v>12.75</c:v>
                </c:pt>
                <c:pt idx="48">
                  <c:v>13</c:v>
                </c:pt>
                <c:pt idx="49">
                  <c:v>13.25</c:v>
                </c:pt>
                <c:pt idx="50">
                  <c:v>13.5</c:v>
                </c:pt>
                <c:pt idx="51">
                  <c:v>13.75</c:v>
                </c:pt>
                <c:pt idx="52">
                  <c:v>14</c:v>
                </c:pt>
                <c:pt idx="53">
                  <c:v>14.25</c:v>
                </c:pt>
                <c:pt idx="54">
                  <c:v>14.5</c:v>
                </c:pt>
                <c:pt idx="55">
                  <c:v>14.75</c:v>
                </c:pt>
                <c:pt idx="56">
                  <c:v>15</c:v>
                </c:pt>
                <c:pt idx="57">
                  <c:v>15.25</c:v>
                </c:pt>
                <c:pt idx="58">
                  <c:v>15.5</c:v>
                </c:pt>
                <c:pt idx="59">
                  <c:v>15.75</c:v>
                </c:pt>
                <c:pt idx="60">
                  <c:v>16</c:v>
                </c:pt>
                <c:pt idx="61">
                  <c:v>16.25</c:v>
                </c:pt>
                <c:pt idx="62">
                  <c:v>16.5</c:v>
                </c:pt>
                <c:pt idx="63">
                  <c:v>16.75</c:v>
                </c:pt>
                <c:pt idx="64">
                  <c:v>17</c:v>
                </c:pt>
                <c:pt idx="65">
                  <c:v>17.25</c:v>
                </c:pt>
                <c:pt idx="66">
                  <c:v>17.5</c:v>
                </c:pt>
                <c:pt idx="67">
                  <c:v>17.75</c:v>
                </c:pt>
                <c:pt idx="68">
                  <c:v>18</c:v>
                </c:pt>
                <c:pt idx="69">
                  <c:v>18.25</c:v>
                </c:pt>
                <c:pt idx="70">
                  <c:v>18.5</c:v>
                </c:pt>
                <c:pt idx="71">
                  <c:v>18.75</c:v>
                </c:pt>
              </c:numCache>
            </c:numRef>
          </c:xVal>
          <c:yVal>
            <c:numRef>
              <c:f>'Avg. Data'!$C$42:$BM$42</c:f>
              <c:numCache>
                <c:formatCode>General</c:formatCode>
                <c:ptCount val="63"/>
                <c:pt idx="0">
                  <c:v>1009.33333333333</c:v>
                </c:pt>
                <c:pt idx="1">
                  <c:v>1007.75</c:v>
                </c:pt>
                <c:pt idx="2">
                  <c:v>1007.5</c:v>
                </c:pt>
                <c:pt idx="3">
                  <c:v>1006.9</c:v>
                </c:pt>
                <c:pt idx="4">
                  <c:v>1004.90909090909</c:v>
                </c:pt>
                <c:pt idx="5">
                  <c:v>1003.63636363636</c:v>
                </c:pt>
                <c:pt idx="6">
                  <c:v>1002</c:v>
                </c:pt>
                <c:pt idx="7">
                  <c:v>1000.36363636364</c:v>
                </c:pt>
                <c:pt idx="8">
                  <c:v>997.909090909091</c:v>
                </c:pt>
                <c:pt idx="9">
                  <c:v>996.363636363636</c:v>
                </c:pt>
                <c:pt idx="10">
                  <c:v>993.909090909091</c:v>
                </c:pt>
                <c:pt idx="11">
                  <c:v>988.5</c:v>
                </c:pt>
                <c:pt idx="12">
                  <c:v>983.8</c:v>
                </c:pt>
                <c:pt idx="13">
                  <c:v>978.2</c:v>
                </c:pt>
                <c:pt idx="14">
                  <c:v>974.9</c:v>
                </c:pt>
                <c:pt idx="15">
                  <c:v>972</c:v>
                </c:pt>
                <c:pt idx="16">
                  <c:v>969.8</c:v>
                </c:pt>
                <c:pt idx="17">
                  <c:v>971.7</c:v>
                </c:pt>
                <c:pt idx="18">
                  <c:v>968.555555555556</c:v>
                </c:pt>
                <c:pt idx="19">
                  <c:v>970.222222222222</c:v>
                </c:pt>
                <c:pt idx="20">
                  <c:v>971.888888888889</c:v>
                </c:pt>
                <c:pt idx="21">
                  <c:v>976.111111111111</c:v>
                </c:pt>
                <c:pt idx="22">
                  <c:v>978</c:v>
                </c:pt>
                <c:pt idx="23">
                  <c:v>979.25</c:v>
                </c:pt>
                <c:pt idx="24">
                  <c:v>977.285714285714</c:v>
                </c:pt>
                <c:pt idx="25">
                  <c:v>979</c:v>
                </c:pt>
                <c:pt idx="26">
                  <c:v>980.857142857143</c:v>
                </c:pt>
                <c:pt idx="27">
                  <c:v>975.666666666667</c:v>
                </c:pt>
                <c:pt idx="28">
                  <c:v>975.833333333333</c:v>
                </c:pt>
                <c:pt idx="29">
                  <c:v>971.2</c:v>
                </c:pt>
                <c:pt idx="30">
                  <c:v>968</c:v>
                </c:pt>
                <c:pt idx="31">
                  <c:v>968.6</c:v>
                </c:pt>
                <c:pt idx="32">
                  <c:v>976</c:v>
                </c:pt>
                <c:pt idx="33">
                  <c:v>974.25</c:v>
                </c:pt>
                <c:pt idx="34">
                  <c:v>978.75</c:v>
                </c:pt>
                <c:pt idx="35">
                  <c:v>973.25</c:v>
                </c:pt>
                <c:pt idx="36">
                  <c:v>952</c:v>
                </c:pt>
                <c:pt idx="37">
                  <c:v>952.666666666667</c:v>
                </c:pt>
                <c:pt idx="38">
                  <c:v>959</c:v>
                </c:pt>
                <c:pt idx="39">
                  <c:v>964</c:v>
                </c:pt>
                <c:pt idx="40">
                  <c:v>967.333333333333</c:v>
                </c:pt>
                <c:pt idx="41">
                  <c:v>970.333333333333</c:v>
                </c:pt>
                <c:pt idx="42">
                  <c:v>977.333333333333</c:v>
                </c:pt>
                <c:pt idx="43">
                  <c:v>976.666666666667</c:v>
                </c:pt>
                <c:pt idx="44">
                  <c:v>983.666666666667</c:v>
                </c:pt>
                <c:pt idx="45">
                  <c:v>973</c:v>
                </c:pt>
                <c:pt idx="46">
                  <c:v>978.5</c:v>
                </c:pt>
                <c:pt idx="47">
                  <c:v>981</c:v>
                </c:pt>
                <c:pt idx="48">
                  <c:v>954</c:v>
                </c:pt>
                <c:pt idx="49">
                  <c:v>954</c:v>
                </c:pt>
                <c:pt idx="50">
                  <c:v>954</c:v>
                </c:pt>
                <c:pt idx="51">
                  <c:v>952</c:v>
                </c:pt>
                <c:pt idx="52">
                  <c:v>951</c:v>
                </c:pt>
                <c:pt idx="53">
                  <c:v>950</c:v>
                </c:pt>
                <c:pt idx="54">
                  <c:v>959</c:v>
                </c:pt>
                <c:pt idx="55">
                  <c:v>974</c:v>
                </c:pt>
                <c:pt idx="56">
                  <c:v>980</c:v>
                </c:pt>
                <c:pt idx="57">
                  <c:v>985</c:v>
                </c:pt>
                <c:pt idx="58">
                  <c:v>987</c:v>
                </c:pt>
                <c:pt idx="59">
                  <c:v>988</c:v>
                </c:pt>
                <c:pt idx="60">
                  <c:v>988</c:v>
                </c:pt>
                <c:pt idx="61">
                  <c:v>986</c:v>
                </c:pt>
                <c:pt idx="62">
                  <c:v>986</c:v>
                </c:pt>
              </c:numCache>
            </c:numRef>
          </c:yVal>
        </c:ser>
        <c:axId val="43291957"/>
        <c:axId val="33565573"/>
      </c:scatterChart>
      <c:valAx>
        <c:axId val="43291957"/>
        <c:scaling>
          <c:orientation val="minMax"/>
        </c:scaling>
        <c:delete val="0"/>
        <c:axPos val="b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Days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33565573"/>
        <c:crossesAt val="0"/>
        <c:majorUnit val="1"/>
        <c:minorUnit val="1"/>
      </c:valAx>
      <c:valAx>
        <c:axId val="33565573"/>
        <c:scaling>
          <c:orientation val="minMax"/>
        </c:scaling>
        <c:delete val="0"/>
        <c:axPos val="l"/>
        <c:majorGridlines>
          <c:spPr>
            <a:ln w="3240">
              <a:solidFill>
                <a:srgbClr val="b3b3b3"/>
              </a:solidFill>
              <a:round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sz="1000">
                    <a:solidFill>
                      <a:srgbClr val="003300"/>
                    </a:solidFill>
                    <a:latin typeface="宋体"/>
                    <a:ea typeface="宋体"/>
                  </a:rPr>
                  <a:t>Barometric Pressure (mb)</a:t>
                </a:r>
              </a:p>
            </c:rich>
          </c:tx>
          <c:layout/>
        </c:title>
        <c:majorTickMark val="out"/>
        <c:minorTickMark val="none"/>
        <c:tickLblPos val="nextTo"/>
        <c:spPr>
          <a:ln w="3240">
            <a:solidFill>
              <a:srgbClr val="b3b3b3"/>
            </a:solidFill>
            <a:round/>
          </a:ln>
        </c:spPr>
        <c:crossAx val="43291957"/>
        <c:crossesAt val="0"/>
      </c:valAx>
      <c:spPr>
        <a:noFill/>
        <a:ln w="3240">
          <a:solidFill>
            <a:srgbClr val="b3b3b3"/>
          </a:solidFill>
          <a:round/>
        </a:ln>
      </c:spPr>
    </c:plotArea>
    <c:legend>
      <c:legendPos val="r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528120</xdr:colOff>
      <xdr:row>201</xdr:row>
      <xdr:rowOff>84600</xdr:rowOff>
    </xdr:from>
    <xdr:to>
      <xdr:col>33</xdr:col>
      <xdr:colOff>513360</xdr:colOff>
      <xdr:row>254</xdr:row>
      <xdr:rowOff>9720</xdr:rowOff>
    </xdr:to>
    <xdr:graphicFrame>
      <xdr:nvGraphicFramePr>
        <xdr:cNvPr id="0" name="Chart 1"/>
        <xdr:cNvGraphicFramePr/>
      </xdr:nvGraphicFramePr>
      <xdr:xfrm>
        <a:off x="8043840" y="33717240"/>
        <a:ext cx="15017040" cy="8507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163440</xdr:colOff>
      <xdr:row>2</xdr:row>
      <xdr:rowOff>103320</xdr:rowOff>
    </xdr:from>
    <xdr:to>
      <xdr:col>19</xdr:col>
      <xdr:colOff>676800</xdr:colOff>
      <xdr:row>62</xdr:row>
      <xdr:rowOff>64080</xdr:rowOff>
    </xdr:to>
    <xdr:graphicFrame>
      <xdr:nvGraphicFramePr>
        <xdr:cNvPr id="1" name="Chart 3"/>
        <xdr:cNvGraphicFramePr/>
      </xdr:nvGraphicFramePr>
      <xdr:xfrm>
        <a:off x="163440" y="426960"/>
        <a:ext cx="15968520" cy="9676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164160</xdr:colOff>
      <xdr:row>63</xdr:row>
      <xdr:rowOff>119160</xdr:rowOff>
    </xdr:from>
    <xdr:to>
      <xdr:col>18</xdr:col>
      <xdr:colOff>539640</xdr:colOff>
      <xdr:row>116</xdr:row>
      <xdr:rowOff>44280</xdr:rowOff>
    </xdr:to>
    <xdr:graphicFrame>
      <xdr:nvGraphicFramePr>
        <xdr:cNvPr id="2" name="Chart 1"/>
        <xdr:cNvGraphicFramePr/>
      </xdr:nvGraphicFramePr>
      <xdr:xfrm>
        <a:off x="164160" y="10320120"/>
        <a:ext cx="15017040" cy="8507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219960</xdr:colOff>
      <xdr:row>0</xdr:row>
      <xdr:rowOff>123480</xdr:rowOff>
    </xdr:from>
    <xdr:to>
      <xdr:col>18</xdr:col>
      <xdr:colOff>125640</xdr:colOff>
      <xdr:row>59</xdr:row>
      <xdr:rowOff>137160</xdr:rowOff>
    </xdr:to>
    <xdr:graphicFrame>
      <xdr:nvGraphicFramePr>
        <xdr:cNvPr id="3" name="Chart 3"/>
        <xdr:cNvGraphicFramePr/>
      </xdr:nvGraphicFramePr>
      <xdr:xfrm>
        <a:off x="219960" y="123480"/>
        <a:ext cx="14547240" cy="9567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301320</xdr:colOff>
      <xdr:row>63</xdr:row>
      <xdr:rowOff>86760</xdr:rowOff>
    </xdr:from>
    <xdr:to>
      <xdr:col>18</xdr:col>
      <xdr:colOff>175680</xdr:colOff>
      <xdr:row>113</xdr:row>
      <xdr:rowOff>148680</xdr:rowOff>
    </xdr:to>
    <xdr:graphicFrame>
      <xdr:nvGraphicFramePr>
        <xdr:cNvPr id="4" name="Chart 4"/>
        <xdr:cNvGraphicFramePr/>
      </xdr:nvGraphicFramePr>
      <xdr:xfrm>
        <a:off x="301320" y="10287720"/>
        <a:ext cx="14515920" cy="8158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24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L24" activeCellId="0" sqref="L24"/>
    </sheetView>
  </sheetViews>
  <sheetFormatPr defaultRowHeight="12.8"/>
  <cols>
    <col collapsed="false" hidden="false" max="1" min="1" style="1" width="9.71938775510204"/>
    <col collapsed="false" hidden="false" max="2" min="2" style="1" width="11.7448979591837"/>
    <col collapsed="false" hidden="false" max="3" min="3" style="1" width="8.33163265306122"/>
    <col collapsed="false" hidden="false" max="4" min="4" style="1" width="11.7448979591837"/>
    <col collapsed="false" hidden="false" max="5" min="5" style="1" width="12.8775510204082"/>
    <col collapsed="false" hidden="false" max="6" min="6" style="1" width="9.59183673469388"/>
    <col collapsed="false" hidden="false" max="7" min="7" style="1" width="10.4744897959184"/>
    <col collapsed="false" hidden="false" max="10" min="8" style="1" width="10.734693877551"/>
    <col collapsed="false" hidden="false" max="18" min="11" style="1" width="11.7448979591837"/>
    <col collapsed="false" hidden="false" max="19" min="19" style="1" width="10.9897959183673"/>
    <col collapsed="false" hidden="false" max="1025" min="20" style="1" width="11.7448979591837"/>
  </cols>
  <sheetData>
    <row r="1" s="2" customFormat="true" ht="60.8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7</v>
      </c>
      <c r="J1" s="5" t="s">
        <v>8</v>
      </c>
      <c r="K1" s="3" t="s">
        <v>9</v>
      </c>
      <c r="L1" s="6" t="s">
        <v>10</v>
      </c>
      <c r="M1" s="3" t="s">
        <v>11</v>
      </c>
      <c r="N1" s="3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/>
      <c r="T1" s="4"/>
      <c r="AMI1" s="7"/>
      <c r="AMJ1" s="7"/>
    </row>
    <row r="2" customFormat="false" ht="13.05" hidden="false" customHeight="false" outlineLevel="0" collapsed="false">
      <c r="A2" s="8" t="n">
        <v>1</v>
      </c>
      <c r="B2" s="8" t="s">
        <v>17</v>
      </c>
      <c r="C2" s="1" t="n">
        <v>1941</v>
      </c>
      <c r="D2" s="1" t="s">
        <v>18</v>
      </c>
      <c r="E2" s="1" t="s">
        <v>19</v>
      </c>
      <c r="F2" s="1" t="n">
        <v>28.83</v>
      </c>
      <c r="G2" s="1" t="n">
        <v>-95.62</v>
      </c>
      <c r="H2" s="1" t="n">
        <v>28.29</v>
      </c>
      <c r="I2" s="1" t="n">
        <v>-95.5</v>
      </c>
      <c r="J2" s="1" t="s">
        <v>20</v>
      </c>
      <c r="K2" s="1" t="n">
        <v>970</v>
      </c>
      <c r="L2" s="9" t="n">
        <f aca="false">1013-K2</f>
        <v>43</v>
      </c>
      <c r="M2" s="1" t="n">
        <v>33</v>
      </c>
      <c r="N2" s="1" t="n">
        <f aca="false">M2*0.539957</f>
        <v>17.818581</v>
      </c>
      <c r="O2" s="1" t="s">
        <v>20</v>
      </c>
      <c r="P2" s="10" t="e">
        <f aca="false">0.5144*O2</f>
        <v>#VALUE!</v>
      </c>
      <c r="Q2" s="1" t="n">
        <v>110</v>
      </c>
      <c r="R2" s="1" t="n">
        <f aca="false">Q2*0.514444</f>
        <v>56.58884</v>
      </c>
    </row>
    <row r="3" customFormat="false" ht="12.8" hidden="false" customHeight="false" outlineLevel="0" collapsed="false">
      <c r="A3" s="8" t="n">
        <v>2</v>
      </c>
      <c r="B3" s="8" t="s">
        <v>17</v>
      </c>
      <c r="C3" s="1" t="n">
        <v>1957</v>
      </c>
      <c r="D3" s="1" t="s">
        <v>21</v>
      </c>
      <c r="E3" s="1" t="s">
        <v>22</v>
      </c>
      <c r="F3" s="1" t="n">
        <v>29.26</v>
      </c>
      <c r="G3" s="1" t="n">
        <v>-93.78</v>
      </c>
      <c r="H3" s="1" t="n">
        <v>30.69</v>
      </c>
      <c r="I3" s="1" t="n">
        <v>-93.49</v>
      </c>
      <c r="J3" s="1" t="s">
        <v>20</v>
      </c>
      <c r="K3" s="1" t="n">
        <v>964</v>
      </c>
      <c r="L3" s="11" t="n">
        <f aca="false">1013-K3</f>
        <v>49</v>
      </c>
      <c r="M3" s="1" t="n">
        <v>46</v>
      </c>
      <c r="N3" s="1" t="n">
        <f aca="false">M3*0.539957</f>
        <v>24.838022</v>
      </c>
      <c r="O3" s="1" t="s">
        <v>20</v>
      </c>
      <c r="P3" s="10" t="e">
        <f aca="false">0.5144*O3</f>
        <v>#VALUE!</v>
      </c>
      <c r="Q3" s="1" t="n">
        <v>125</v>
      </c>
      <c r="R3" s="1" t="n">
        <f aca="false">Q3*0.514444</f>
        <v>64.3055</v>
      </c>
    </row>
    <row r="4" customFormat="false" ht="12.8" hidden="false" customHeight="false" outlineLevel="0" collapsed="false">
      <c r="A4" s="8" t="n">
        <v>3</v>
      </c>
      <c r="B4" s="8" t="s">
        <v>17</v>
      </c>
      <c r="C4" s="1" t="n">
        <v>1961</v>
      </c>
      <c r="D4" s="1" t="s">
        <v>23</v>
      </c>
      <c r="E4" s="1" t="s">
        <v>24</v>
      </c>
      <c r="F4" s="12" t="n">
        <v>27.99</v>
      </c>
      <c r="G4" s="12" t="n">
        <v>-93.69</v>
      </c>
      <c r="H4" s="1" t="n">
        <v>28.59</v>
      </c>
      <c r="I4" s="1" t="n">
        <v>-96.82</v>
      </c>
      <c r="J4" s="1" t="s">
        <v>20</v>
      </c>
      <c r="K4" s="1" t="n">
        <v>936</v>
      </c>
      <c r="L4" s="11" t="n">
        <f aca="false">1013-K4</f>
        <v>77</v>
      </c>
      <c r="M4" s="1" t="n">
        <v>56</v>
      </c>
      <c r="N4" s="1" t="n">
        <f aca="false">M4*0.539957</f>
        <v>30.237592</v>
      </c>
      <c r="O4" s="1" t="s">
        <v>20</v>
      </c>
      <c r="P4" s="10" t="e">
        <f aca="false">0.5144*O4</f>
        <v>#VALUE!</v>
      </c>
      <c r="Q4" s="1" t="n">
        <v>125</v>
      </c>
      <c r="R4" s="1" t="n">
        <f aca="false">Q4*0.514444</f>
        <v>64.3055</v>
      </c>
    </row>
    <row r="5" customFormat="false" ht="12.8" hidden="false" customHeight="false" outlineLevel="0" collapsed="false">
      <c r="A5" s="8" t="n">
        <v>4</v>
      </c>
      <c r="B5" s="8" t="s">
        <v>17</v>
      </c>
      <c r="C5" s="1" t="n">
        <v>1967</v>
      </c>
      <c r="D5" s="1" t="s">
        <v>25</v>
      </c>
      <c r="E5" s="1" t="s">
        <v>26</v>
      </c>
      <c r="F5" s="1" t="n">
        <v>25.08</v>
      </c>
      <c r="G5" s="1" t="n">
        <v>-96.8</v>
      </c>
      <c r="H5" s="1" t="n">
        <v>25.9</v>
      </c>
      <c r="I5" s="1" t="n">
        <v>-97.18</v>
      </c>
      <c r="J5" s="1" t="s">
        <v>20</v>
      </c>
      <c r="K5" s="1" t="n">
        <v>950</v>
      </c>
      <c r="L5" s="11" t="n">
        <f aca="false">1013-K5</f>
        <v>63</v>
      </c>
      <c r="M5" s="1" t="n">
        <v>46</v>
      </c>
      <c r="N5" s="1" t="n">
        <f aca="false">M5*0.539957</f>
        <v>24.838022</v>
      </c>
      <c r="O5" s="1" t="s">
        <v>20</v>
      </c>
      <c r="P5" s="10" t="e">
        <f aca="false">0.5144*O5</f>
        <v>#VALUE!</v>
      </c>
      <c r="Q5" s="1" t="n">
        <v>140</v>
      </c>
      <c r="R5" s="1" t="n">
        <f aca="false">Q5*0.514444</f>
        <v>72.02216</v>
      </c>
    </row>
    <row r="6" customFormat="false" ht="12.8" hidden="false" customHeight="false" outlineLevel="0" collapsed="false">
      <c r="A6" s="8" t="n">
        <v>5</v>
      </c>
      <c r="B6" s="8" t="s">
        <v>17</v>
      </c>
      <c r="C6" s="1" t="n">
        <v>1970</v>
      </c>
      <c r="D6" s="1" t="s">
        <v>27</v>
      </c>
      <c r="E6" s="1" t="s">
        <v>28</v>
      </c>
      <c r="F6" s="1" t="n">
        <v>27.51</v>
      </c>
      <c r="G6" s="1" t="n">
        <v>-96.28</v>
      </c>
      <c r="H6" s="1" t="n">
        <v>28.1</v>
      </c>
      <c r="I6" s="1" t="n">
        <v>-97.8</v>
      </c>
      <c r="J6" s="1" t="s">
        <v>20</v>
      </c>
      <c r="K6" s="1" t="n">
        <v>944</v>
      </c>
      <c r="L6" s="11" t="n">
        <f aca="false">1013-K6</f>
        <v>69</v>
      </c>
      <c r="M6" s="1" t="n">
        <v>17</v>
      </c>
      <c r="N6" s="1" t="n">
        <f aca="false">M6*0.539957</f>
        <v>9.179269</v>
      </c>
      <c r="O6" s="1" t="s">
        <v>20</v>
      </c>
      <c r="P6" s="10" t="e">
        <f aca="false">0.5144*O6</f>
        <v>#VALUE!</v>
      </c>
      <c r="Q6" s="1" t="n">
        <v>110</v>
      </c>
      <c r="R6" s="1" t="n">
        <f aca="false">Q6*0.514444</f>
        <v>56.58884</v>
      </c>
    </row>
    <row r="7" customFormat="false" ht="12.8" hidden="false" customHeight="false" outlineLevel="0" collapsed="false">
      <c r="A7" s="8" t="n">
        <v>6</v>
      </c>
      <c r="B7" s="8" t="s">
        <v>17</v>
      </c>
      <c r="C7" s="1" t="n">
        <v>1980</v>
      </c>
      <c r="D7" s="1" t="s">
        <v>29</v>
      </c>
      <c r="E7" s="1" t="s">
        <v>30</v>
      </c>
      <c r="F7" s="1" t="n">
        <v>25.79</v>
      </c>
      <c r="G7" s="1" t="n">
        <v>-96.8</v>
      </c>
      <c r="H7" s="1" t="n">
        <v>26.1</v>
      </c>
      <c r="I7" s="1" t="n">
        <v>-97.2</v>
      </c>
      <c r="J7" s="1" t="s">
        <v>20</v>
      </c>
      <c r="K7" s="1" t="n">
        <v>945</v>
      </c>
      <c r="L7" s="11" t="n">
        <f aca="false">1013-K7</f>
        <v>68</v>
      </c>
      <c r="M7" s="1" t="n">
        <v>37</v>
      </c>
      <c r="N7" s="1" t="n">
        <f aca="false">M7*0.539957</f>
        <v>19.978409</v>
      </c>
      <c r="O7" s="1" t="s">
        <v>20</v>
      </c>
      <c r="P7" s="10" t="e">
        <f aca="false">0.5144*O7</f>
        <v>#VALUE!</v>
      </c>
      <c r="Q7" s="1" t="n">
        <v>110</v>
      </c>
      <c r="R7" s="1" t="n">
        <f aca="false">Q7*0.514444</f>
        <v>56.58884</v>
      </c>
    </row>
    <row r="8" customFormat="false" ht="12.8" hidden="false" customHeight="false" outlineLevel="0" collapsed="false">
      <c r="A8" s="8" t="n">
        <v>7</v>
      </c>
      <c r="B8" s="8" t="s">
        <v>17</v>
      </c>
      <c r="C8" s="1" t="n">
        <v>1999</v>
      </c>
      <c r="D8" s="1" t="s">
        <v>31</v>
      </c>
      <c r="E8" s="1" t="s">
        <v>32</v>
      </c>
      <c r="F8" s="1" t="n">
        <v>26.59</v>
      </c>
      <c r="G8" s="1" t="n">
        <v>-96.8</v>
      </c>
      <c r="H8" s="1" t="n">
        <v>26.9</v>
      </c>
      <c r="I8" s="1" t="n">
        <v>-97.41</v>
      </c>
      <c r="J8" s="1" t="s">
        <v>20</v>
      </c>
      <c r="K8" s="1" t="n">
        <v>953</v>
      </c>
      <c r="L8" s="11" t="n">
        <f aca="false">1013-K8</f>
        <v>60</v>
      </c>
      <c r="M8" s="1" t="n">
        <v>19</v>
      </c>
      <c r="N8" s="1" t="n">
        <f aca="false">M8*0.539957</f>
        <v>10.259183</v>
      </c>
      <c r="O8" s="1" t="s">
        <v>20</v>
      </c>
      <c r="P8" s="10" t="e">
        <f aca="false">0.5144*O8</f>
        <v>#VALUE!</v>
      </c>
      <c r="Q8" s="1" t="n">
        <v>120</v>
      </c>
      <c r="R8" s="1" t="n">
        <f aca="false">Q8*0.514444</f>
        <v>61.73328</v>
      </c>
    </row>
    <row r="9" customFormat="false" ht="12.8" hidden="false" customHeight="false" outlineLevel="0" collapsed="false">
      <c r="A9" s="8" t="n">
        <v>8</v>
      </c>
      <c r="B9" s="8" t="s">
        <v>17</v>
      </c>
      <c r="C9" s="1" t="n">
        <v>2004</v>
      </c>
      <c r="D9" s="1" t="s">
        <v>33</v>
      </c>
      <c r="E9" s="1" t="s">
        <v>34</v>
      </c>
      <c r="F9" s="1" t="n">
        <v>29.6</v>
      </c>
      <c r="G9" s="1" t="n">
        <v>-93.19</v>
      </c>
      <c r="H9" s="1" t="n">
        <v>29.78</v>
      </c>
      <c r="I9" s="1" t="n">
        <v>-93.61</v>
      </c>
      <c r="J9" s="1" t="s">
        <v>20</v>
      </c>
      <c r="K9" s="1" t="n">
        <v>955</v>
      </c>
      <c r="L9" s="11" t="n">
        <f aca="false">1013-K9</f>
        <v>58</v>
      </c>
      <c r="M9" s="1" t="n">
        <v>56</v>
      </c>
      <c r="N9" s="1" t="n">
        <f aca="false">M9*0.539957</f>
        <v>30.237592</v>
      </c>
      <c r="O9" s="1" t="s">
        <v>20</v>
      </c>
      <c r="P9" s="10" t="e">
        <f aca="false">0.5144*O9</f>
        <v>#VALUE!</v>
      </c>
      <c r="Q9" s="1" t="n">
        <v>30</v>
      </c>
      <c r="R9" s="1" t="n">
        <f aca="false">Q9*0.514444</f>
        <v>15.43332</v>
      </c>
    </row>
    <row r="10" customFormat="false" ht="12.8" hidden="false" customHeight="false" outlineLevel="0" collapsed="false">
      <c r="A10" s="8"/>
      <c r="B10" s="0"/>
      <c r="C10" s="0"/>
      <c r="D10" s="0"/>
      <c r="E10" s="0"/>
      <c r="F10" s="0"/>
      <c r="G10" s="0"/>
      <c r="H10" s="0"/>
      <c r="I10" s="0"/>
      <c r="J10" s="0"/>
      <c r="K10" s="0"/>
      <c r="L10" s="9"/>
      <c r="M10" s="0"/>
      <c r="N10" s="0"/>
      <c r="O10" s="0"/>
      <c r="P10" s="10"/>
      <c r="Q10" s="0"/>
      <c r="R10" s="0"/>
    </row>
    <row r="11" customFormat="false" ht="13.05" hidden="false" customHeight="false" outlineLevel="0" collapsed="false">
      <c r="A11" s="8" t="n">
        <v>9</v>
      </c>
      <c r="B11" s="8" t="s">
        <v>35</v>
      </c>
      <c r="C11" s="1" t="n">
        <v>1943</v>
      </c>
      <c r="D11" s="1" t="s">
        <v>36</v>
      </c>
      <c r="E11" s="8" t="s">
        <v>37</v>
      </c>
      <c r="F11" s="9" t="n">
        <v>29.5</v>
      </c>
      <c r="G11" s="9" t="n">
        <v>-94.5</v>
      </c>
      <c r="H11" s="9" t="s">
        <v>38</v>
      </c>
      <c r="I11" s="9" t="s">
        <v>38</v>
      </c>
      <c r="J11" s="10" t="n">
        <v>296.2</v>
      </c>
      <c r="K11" s="9" t="n">
        <v>969</v>
      </c>
      <c r="L11" s="9" t="n">
        <f aca="false">1013-K11</f>
        <v>44</v>
      </c>
      <c r="M11" s="12" t="n">
        <f aca="false">N11*1.852</f>
        <v>29.632</v>
      </c>
      <c r="N11" s="9" t="n">
        <v>16</v>
      </c>
      <c r="O11" s="10" t="n">
        <v>5.7</v>
      </c>
      <c r="P11" s="10" t="n">
        <f aca="false">0.5144*O11</f>
        <v>2.93208</v>
      </c>
      <c r="Q11" s="1" t="n">
        <v>90</v>
      </c>
      <c r="R11" s="1" t="n">
        <f aca="false">Q11*0.514444</f>
        <v>46.29996</v>
      </c>
    </row>
    <row r="12" customFormat="false" ht="13.05" hidden="false" customHeight="false" outlineLevel="0" collapsed="false">
      <c r="A12" s="8" t="n">
        <v>10</v>
      </c>
      <c r="B12" s="8" t="s">
        <v>35</v>
      </c>
      <c r="C12" s="1" t="n">
        <v>1971</v>
      </c>
      <c r="D12" s="1" t="s">
        <v>39</v>
      </c>
      <c r="E12" s="8" t="s">
        <v>40</v>
      </c>
      <c r="F12" s="9" t="n">
        <v>29.7</v>
      </c>
      <c r="G12" s="9" t="n">
        <v>-92.9</v>
      </c>
      <c r="H12" s="9" t="s">
        <v>38</v>
      </c>
      <c r="I12" s="9" t="s">
        <v>38</v>
      </c>
      <c r="J12" s="10" t="n">
        <v>47.1</v>
      </c>
      <c r="K12" s="9" t="n">
        <v>978</v>
      </c>
      <c r="L12" s="9" t="n">
        <f aca="false">1013-K12</f>
        <v>35</v>
      </c>
      <c r="M12" s="12" t="n">
        <f aca="false">N12*1.852</f>
        <v>50.004</v>
      </c>
      <c r="N12" s="9" t="n">
        <v>27</v>
      </c>
      <c r="O12" s="10" t="n">
        <v>16.3</v>
      </c>
      <c r="P12" s="10" t="n">
        <f aca="false">0.5144*O12</f>
        <v>8.38472</v>
      </c>
      <c r="Q12" s="1" t="n">
        <v>85</v>
      </c>
      <c r="R12" s="1" t="n">
        <f aca="false">Q12*0.514444</f>
        <v>43.72774</v>
      </c>
    </row>
    <row r="13" customFormat="false" ht="13.05" hidden="false" customHeight="false" outlineLevel="0" collapsed="false">
      <c r="A13" s="8" t="n">
        <v>11</v>
      </c>
      <c r="B13" s="8" t="s">
        <v>35</v>
      </c>
      <c r="C13" s="1" t="n">
        <v>1971</v>
      </c>
      <c r="D13" s="1" t="s">
        <v>41</v>
      </c>
      <c r="E13" s="8" t="s">
        <v>42</v>
      </c>
      <c r="F13" s="9" t="n">
        <v>29.8</v>
      </c>
      <c r="G13" s="9" t="n">
        <v>-89.5</v>
      </c>
      <c r="H13" s="9" t="s">
        <v>38</v>
      </c>
      <c r="I13" s="9" t="s">
        <v>38</v>
      </c>
      <c r="J13" s="10" t="n">
        <v>347.2</v>
      </c>
      <c r="K13" s="9" t="n">
        <v>979</v>
      </c>
      <c r="L13" s="9" t="n">
        <f aca="false">1013-K13</f>
        <v>34</v>
      </c>
      <c r="M13" s="12" t="n">
        <f aca="false">N13*1.852</f>
        <v>68.524</v>
      </c>
      <c r="N13" s="9" t="n">
        <v>37</v>
      </c>
      <c r="O13" s="10" t="n">
        <v>5.9</v>
      </c>
      <c r="P13" s="10" t="n">
        <f aca="false">0.5144*O13</f>
        <v>3.03496</v>
      </c>
      <c r="Q13" s="1" t="n">
        <v>65</v>
      </c>
      <c r="R13" s="1" t="n">
        <f aca="false">Q13*0.514444</f>
        <v>33.43886</v>
      </c>
    </row>
    <row r="14" customFormat="false" ht="12.8" hidden="false" customHeight="false" outlineLevel="0" collapsed="false">
      <c r="A14" s="8" t="n">
        <v>12</v>
      </c>
      <c r="B14" s="8" t="s">
        <v>35</v>
      </c>
      <c r="C14" s="8" t="n">
        <v>2005</v>
      </c>
      <c r="D14" s="8" t="s">
        <v>43</v>
      </c>
      <c r="E14" s="8" t="s">
        <v>44</v>
      </c>
      <c r="F14" s="9" t="n">
        <v>29.7</v>
      </c>
      <c r="G14" s="9" t="n">
        <v>-93.8</v>
      </c>
      <c r="H14" s="9" t="s">
        <v>38</v>
      </c>
      <c r="I14" s="9" t="s">
        <v>38</v>
      </c>
      <c r="J14" s="10" t="n">
        <v>335.2</v>
      </c>
      <c r="K14" s="9" t="n">
        <v>937</v>
      </c>
      <c r="L14" s="11" t="n">
        <f aca="false">1013-K14</f>
        <v>76</v>
      </c>
      <c r="M14" s="12" t="n">
        <f aca="false">N14*1.852</f>
        <v>38.892</v>
      </c>
      <c r="N14" s="9" t="n">
        <v>21</v>
      </c>
      <c r="O14" s="10" t="n">
        <v>11.3</v>
      </c>
      <c r="P14" s="10" t="n">
        <f aca="false">0.5144*O14</f>
        <v>5.81272</v>
      </c>
      <c r="Q14" s="1" t="n">
        <v>100</v>
      </c>
      <c r="R14" s="1" t="n">
        <f aca="false">Q14*0.514444</f>
        <v>51.4444</v>
      </c>
    </row>
    <row r="15" customFormat="false" ht="13.05" hidden="false" customHeight="false" outlineLevel="0" collapsed="false">
      <c r="A15" s="8" t="n">
        <v>13</v>
      </c>
      <c r="B15" s="8" t="s">
        <v>35</v>
      </c>
      <c r="C15" s="1" t="n">
        <v>1940</v>
      </c>
      <c r="D15" s="1" t="s">
        <v>36</v>
      </c>
      <c r="E15" s="1" t="s">
        <v>45</v>
      </c>
      <c r="F15" s="9" t="n">
        <v>29.7</v>
      </c>
      <c r="G15" s="9" t="n">
        <v>-93.7</v>
      </c>
      <c r="H15" s="9" t="s">
        <v>38</v>
      </c>
      <c r="I15" s="9" t="s">
        <v>38</v>
      </c>
      <c r="J15" s="10" t="n">
        <v>320</v>
      </c>
      <c r="K15" s="9" t="n">
        <v>972</v>
      </c>
      <c r="L15" s="9" t="n">
        <f aca="false">1013-K15</f>
        <v>41</v>
      </c>
      <c r="M15" s="12" t="n">
        <f aca="false">N15*1.852</f>
        <v>20.372</v>
      </c>
      <c r="N15" s="9" t="n">
        <v>11</v>
      </c>
      <c r="O15" s="10" t="n">
        <v>8</v>
      </c>
      <c r="P15" s="10" t="n">
        <f aca="false">0.5144*O15</f>
        <v>4.1152</v>
      </c>
      <c r="Q15" s="1" t="n">
        <v>85</v>
      </c>
      <c r="R15" s="1" t="n">
        <f aca="false">Q15*0.514444</f>
        <v>43.72774</v>
      </c>
    </row>
    <row r="16" customFormat="false" ht="15.35" hidden="false" customHeight="true" outlineLevel="0" collapsed="false">
      <c r="A16" s="8" t="n">
        <v>14</v>
      </c>
      <c r="B16" s="8" t="s">
        <v>35</v>
      </c>
      <c r="C16" s="1" t="n">
        <v>1941</v>
      </c>
      <c r="D16" s="1" t="s">
        <v>36</v>
      </c>
      <c r="E16" s="1" t="s">
        <v>46</v>
      </c>
      <c r="F16" s="9" t="n">
        <v>29.8</v>
      </c>
      <c r="G16" s="9" t="n">
        <v>-84.7</v>
      </c>
      <c r="H16" s="9" t="s">
        <v>38</v>
      </c>
      <c r="I16" s="9" t="s">
        <v>38</v>
      </c>
      <c r="J16" s="10" t="n">
        <v>350</v>
      </c>
      <c r="K16" s="9" t="n">
        <v>981</v>
      </c>
      <c r="L16" s="9" t="n">
        <f aca="false">1013-K16</f>
        <v>32</v>
      </c>
      <c r="M16" s="12" t="n">
        <f aca="false">N16*1.852</f>
        <v>33.336</v>
      </c>
      <c r="N16" s="9" t="n">
        <v>18</v>
      </c>
      <c r="O16" s="10" t="n">
        <v>11</v>
      </c>
      <c r="P16" s="10" t="n">
        <f aca="false">0.5144*O16</f>
        <v>5.6584</v>
      </c>
      <c r="Q16" s="1" t="n">
        <v>30</v>
      </c>
      <c r="R16" s="1" t="n">
        <f aca="false">Q16*0.514444</f>
        <v>15.43332</v>
      </c>
    </row>
    <row r="17" customFormat="false" ht="12.8" hidden="false" customHeight="false" outlineLevel="0" collapsed="false">
      <c r="A17" s="0"/>
      <c r="B17" s="0"/>
      <c r="C17" s="0"/>
      <c r="D17" s="0"/>
      <c r="E17" s="0"/>
      <c r="F17" s="0"/>
      <c r="G17" s="0"/>
      <c r="H17" s="0"/>
      <c r="I17" s="0"/>
      <c r="J17" s="0"/>
      <c r="K17" s="0"/>
      <c r="L17" s="9"/>
      <c r="M17" s="12"/>
      <c r="N17" s="0"/>
      <c r="O17" s="0"/>
      <c r="P17" s="0"/>
      <c r="Q17" s="0"/>
      <c r="R17" s="0"/>
    </row>
    <row r="18" customFormat="false" ht="13.05" hidden="false" customHeight="false" outlineLevel="0" collapsed="false">
      <c r="A18" s="8" t="n">
        <v>15</v>
      </c>
      <c r="B18" s="8" t="s">
        <v>47</v>
      </c>
      <c r="C18" s="8" t="n">
        <v>2003</v>
      </c>
      <c r="D18" s="8" t="s">
        <v>48</v>
      </c>
      <c r="E18" s="8" t="s">
        <v>49</v>
      </c>
      <c r="F18" s="1" t="n">
        <v>28.31</v>
      </c>
      <c r="G18" s="1" t="n">
        <v>-96.22</v>
      </c>
      <c r="H18" s="1" t="n">
        <v>28.59</v>
      </c>
      <c r="I18" s="1" t="n">
        <v>-96.9</v>
      </c>
      <c r="J18" s="1" t="s">
        <v>20</v>
      </c>
      <c r="K18" s="1" t="n">
        <v>979</v>
      </c>
      <c r="L18" s="9" t="n">
        <f aca="false">1013-K18</f>
        <v>34</v>
      </c>
      <c r="M18" s="12" t="n">
        <f aca="false">N18*1.852</f>
        <v>27.78</v>
      </c>
      <c r="N18" s="1" t="n">
        <v>15</v>
      </c>
      <c r="O18" s="1" t="s">
        <v>20</v>
      </c>
      <c r="P18" s="10" t="e">
        <f aca="false">0.5144*O18</f>
        <v>#VALUE!</v>
      </c>
      <c r="Q18" s="1" t="n">
        <v>80</v>
      </c>
      <c r="R18" s="1" t="n">
        <f aca="false">Q18*0.514444</f>
        <v>41.15552</v>
      </c>
    </row>
    <row r="19" customFormat="false" ht="13.05" hidden="false" customHeight="false" outlineLevel="0" collapsed="false">
      <c r="A19" s="8" t="n">
        <v>16</v>
      </c>
      <c r="B19" s="8" t="s">
        <v>47</v>
      </c>
      <c r="C19" s="8" t="n">
        <v>2007</v>
      </c>
      <c r="D19" s="8" t="s">
        <v>50</v>
      </c>
      <c r="E19" s="8" t="s">
        <v>51</v>
      </c>
      <c r="F19" s="1" t="n">
        <v>29.5</v>
      </c>
      <c r="G19" s="1" t="n">
        <v>-94.4</v>
      </c>
      <c r="H19" s="1" t="n">
        <v>29.59</v>
      </c>
      <c r="I19" s="1" t="n">
        <v>-94.3</v>
      </c>
      <c r="J19" s="1" t="s">
        <v>20</v>
      </c>
      <c r="K19" s="1" t="n">
        <v>985</v>
      </c>
      <c r="L19" s="9" t="n">
        <f aca="false">1013-K19</f>
        <v>28</v>
      </c>
      <c r="M19" s="12" t="n">
        <f aca="false">N19*1.852</f>
        <v>27.78</v>
      </c>
      <c r="N19" s="1" t="n">
        <v>15</v>
      </c>
      <c r="O19" s="1" t="s">
        <v>20</v>
      </c>
      <c r="P19" s="10" t="e">
        <f aca="false">0.5144*O19</f>
        <v>#VALUE!</v>
      </c>
      <c r="Q19" s="1" t="n">
        <v>80</v>
      </c>
      <c r="R19" s="1" t="n">
        <f aca="false">Q19*0.514444</f>
        <v>41.15552</v>
      </c>
    </row>
    <row r="20" customFormat="false" ht="12.8" hidden="false" customHeight="false" outlineLevel="0" collapsed="false">
      <c r="A20" s="8" t="n">
        <v>17</v>
      </c>
      <c r="B20" s="8" t="s">
        <v>47</v>
      </c>
      <c r="C20" s="8" t="n">
        <v>2008</v>
      </c>
      <c r="D20" s="8" t="s">
        <v>52</v>
      </c>
      <c r="E20" s="8" t="s">
        <v>53</v>
      </c>
      <c r="F20" s="1" t="n">
        <v>25.99</v>
      </c>
      <c r="G20" s="1" t="n">
        <v>-96.8</v>
      </c>
      <c r="H20" s="1" t="n">
        <v>26.39</v>
      </c>
      <c r="I20" s="1" t="n">
        <v>-97.2</v>
      </c>
      <c r="J20" s="1" t="s">
        <v>20</v>
      </c>
      <c r="K20" s="1" t="n">
        <v>963</v>
      </c>
      <c r="L20" s="11" t="n">
        <f aca="false">1013-K20</f>
        <v>50</v>
      </c>
      <c r="M20" s="12" t="n">
        <f aca="false">N20*1.852</f>
        <v>37.04</v>
      </c>
      <c r="N20" s="1" t="n">
        <v>20</v>
      </c>
      <c r="O20" s="1" t="s">
        <v>20</v>
      </c>
      <c r="P20" s="10" t="e">
        <f aca="false">0.5144*O20</f>
        <v>#VALUE!</v>
      </c>
      <c r="Q20" s="1" t="n">
        <v>85</v>
      </c>
      <c r="R20" s="1" t="n">
        <f aca="false">Q20*0.514444</f>
        <v>43.72774</v>
      </c>
    </row>
    <row r="21" customFormat="false" ht="12.8" hidden="false" customHeight="false" outlineLevel="0" collapsed="false">
      <c r="A21" s="8" t="n">
        <v>18</v>
      </c>
      <c r="B21" s="8" t="s">
        <v>47</v>
      </c>
      <c r="C21" s="8" t="n">
        <v>2008</v>
      </c>
      <c r="D21" s="8" t="s">
        <v>54</v>
      </c>
      <c r="E21" s="8" t="s">
        <v>55</v>
      </c>
      <c r="F21" s="1" t="n">
        <v>29.3</v>
      </c>
      <c r="G21" s="1" t="n">
        <v>-94.7</v>
      </c>
      <c r="H21" s="1" t="n">
        <v>30.29</v>
      </c>
      <c r="I21" s="1" t="n">
        <v>-95.2</v>
      </c>
      <c r="J21" s="1" t="s">
        <v>20</v>
      </c>
      <c r="K21" s="1" t="n">
        <v>935</v>
      </c>
      <c r="L21" s="11" t="n">
        <f aca="false">1013-K21</f>
        <v>78</v>
      </c>
      <c r="M21" s="12" t="n">
        <f aca="false">N21*1.852</f>
        <v>55.56</v>
      </c>
      <c r="N21" s="1" t="n">
        <v>30</v>
      </c>
      <c r="O21" s="1" t="s">
        <v>20</v>
      </c>
      <c r="P21" s="10" t="e">
        <f aca="false">0.5144*O21</f>
        <v>#VALUE!</v>
      </c>
      <c r="Q21" s="1" t="n">
        <v>95</v>
      </c>
      <c r="R21" s="1" t="n">
        <f aca="false">Q21*0.514444</f>
        <v>48.87218</v>
      </c>
    </row>
    <row r="24" customFormat="false" ht="12.8" hidden="false" customHeight="false" outlineLevel="0" collapsed="false">
      <c r="L24" s="1" t="s">
        <v>56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58"/>
  <sheetViews>
    <sheetView windowProtection="false" showFormulas="false" showGridLines="true" showRowColHeaders="true" showZeros="true" rightToLeft="false" tabSelected="false" showOutlineSymbols="true" defaultGridColor="true" view="normal" topLeftCell="A13" colorId="64" zoomScale="110" zoomScaleNormal="110" zoomScalePageLayoutView="100" workbookViewId="0">
      <selection pane="topLeft" activeCell="A54" activeCellId="0" sqref="A54"/>
    </sheetView>
  </sheetViews>
  <sheetFormatPr defaultRowHeight="12.75"/>
  <cols>
    <col collapsed="false" hidden="false" max="1" min="1" style="13" width="11.530612244898"/>
    <col collapsed="false" hidden="false" max="2" min="2" style="13" width="7.45918367346939"/>
    <col collapsed="false" hidden="false" max="3" min="3" style="13" width="14.1938775510204"/>
    <col collapsed="false" hidden="false" max="4" min="4" style="13" width="23.3367346938776"/>
    <col collapsed="false" hidden="false" max="7" min="5" style="13" width="11.530612244898"/>
    <col collapsed="false" hidden="false" max="8" min="8" style="13" width="13.1683673469388"/>
    <col collapsed="false" hidden="false" max="9" min="9" style="13" width="14.1122448979592"/>
    <col collapsed="false" hidden="false" max="1025" min="10" style="13" width="11.530612244898"/>
  </cols>
  <sheetData>
    <row r="1" s="14" customFormat="true" ht="48" hidden="false" customHeight="true" outlineLevel="0" collapsed="false">
      <c r="B1" s="15" t="s">
        <v>57</v>
      </c>
      <c r="C1" s="15" t="s">
        <v>58</v>
      </c>
      <c r="D1" s="15" t="s">
        <v>59</v>
      </c>
      <c r="E1" s="15" t="s">
        <v>60</v>
      </c>
      <c r="F1" s="15"/>
      <c r="G1" s="15" t="s">
        <v>61</v>
      </c>
      <c r="H1" s="15" t="s">
        <v>62</v>
      </c>
      <c r="I1" s="15" t="s">
        <v>63</v>
      </c>
      <c r="J1" s="15" t="s">
        <v>64</v>
      </c>
    </row>
    <row r="2" customFormat="false" ht="12.75" hidden="false" customHeight="false" outlineLevel="0" collapsed="false">
      <c r="A2" s="16" t="n">
        <v>1</v>
      </c>
      <c r="B2" s="16" t="n">
        <v>1851</v>
      </c>
      <c r="C2" s="16" t="s">
        <v>18</v>
      </c>
      <c r="D2" s="16" t="s">
        <v>65</v>
      </c>
      <c r="E2" s="17"/>
    </row>
    <row r="3" customFormat="false" ht="12.75" hidden="false" customHeight="false" outlineLevel="0" collapsed="false">
      <c r="A3" s="16" t="n">
        <v>2</v>
      </c>
      <c r="B3" s="16" t="n">
        <v>1854</v>
      </c>
      <c r="C3" s="16" t="s">
        <v>18</v>
      </c>
      <c r="D3" s="16" t="s">
        <v>66</v>
      </c>
      <c r="E3" s="17"/>
    </row>
    <row r="4" customFormat="false" ht="12.75" hidden="false" customHeight="false" outlineLevel="0" collapsed="false">
      <c r="A4" s="16" t="n">
        <v>3</v>
      </c>
      <c r="B4" s="16" t="n">
        <v>1854</v>
      </c>
      <c r="C4" s="16" t="s">
        <v>18</v>
      </c>
      <c r="D4" s="16" t="s">
        <v>67</v>
      </c>
      <c r="E4" s="17"/>
    </row>
    <row r="5" customFormat="false" ht="12.75" hidden="false" customHeight="false" outlineLevel="0" collapsed="false">
      <c r="A5" s="16" t="n">
        <v>4</v>
      </c>
      <c r="B5" s="16" t="n">
        <v>1866</v>
      </c>
      <c r="C5" s="16" t="s">
        <v>18</v>
      </c>
      <c r="D5" s="16" t="s">
        <v>68</v>
      </c>
      <c r="E5" s="17"/>
    </row>
    <row r="6" customFormat="false" ht="12.75" hidden="false" customHeight="false" outlineLevel="0" collapsed="false">
      <c r="A6" s="16" t="n">
        <v>5</v>
      </c>
      <c r="B6" s="16" t="n">
        <v>1869</v>
      </c>
      <c r="C6" s="16" t="s">
        <v>18</v>
      </c>
      <c r="D6" s="16" t="s">
        <v>69</v>
      </c>
      <c r="E6" s="17"/>
    </row>
    <row r="7" customFormat="false" ht="12.75" hidden="false" customHeight="false" outlineLevel="0" collapsed="false">
      <c r="A7" s="16" t="n">
        <v>6</v>
      </c>
      <c r="B7" s="16" t="n">
        <v>1875</v>
      </c>
      <c r="C7" s="16" t="s">
        <v>18</v>
      </c>
      <c r="D7" s="16" t="s">
        <v>70</v>
      </c>
      <c r="E7" s="17"/>
    </row>
    <row r="8" customFormat="false" ht="12.75" hidden="false" customHeight="false" outlineLevel="0" collapsed="false">
      <c r="A8" s="16" t="n">
        <v>7</v>
      </c>
      <c r="B8" s="16" t="n">
        <v>1879</v>
      </c>
      <c r="C8" s="16" t="s">
        <v>18</v>
      </c>
      <c r="D8" s="16" t="s">
        <v>71</v>
      </c>
      <c r="E8" s="17"/>
    </row>
    <row r="9" customFormat="false" ht="12.75" hidden="false" customHeight="false" outlineLevel="0" collapsed="false">
      <c r="A9" s="16" t="n">
        <v>8</v>
      </c>
      <c r="B9" s="16" t="n">
        <v>1880</v>
      </c>
      <c r="C9" s="16" t="s">
        <v>18</v>
      </c>
      <c r="D9" s="16" t="s">
        <v>72</v>
      </c>
      <c r="E9" s="17"/>
    </row>
    <row r="10" customFormat="false" ht="12.75" hidden="false" customHeight="false" outlineLevel="0" collapsed="false">
      <c r="A10" s="16" t="n">
        <v>9</v>
      </c>
      <c r="B10" s="16" t="n">
        <v>1886</v>
      </c>
      <c r="C10" s="16" t="s">
        <v>18</v>
      </c>
      <c r="D10" s="16" t="s">
        <v>73</v>
      </c>
      <c r="E10" s="17"/>
    </row>
    <row r="11" customFormat="false" ht="12.75" hidden="false" customHeight="false" outlineLevel="0" collapsed="false">
      <c r="A11" s="16" t="n">
        <v>10</v>
      </c>
      <c r="B11" s="16" t="n">
        <v>1886</v>
      </c>
      <c r="C11" s="16" t="s">
        <v>18</v>
      </c>
      <c r="D11" s="16" t="s">
        <v>74</v>
      </c>
      <c r="E11" s="17"/>
    </row>
    <row r="12" customFormat="false" ht="12.75" hidden="false" customHeight="false" outlineLevel="0" collapsed="false">
      <c r="A12" s="16" t="n">
        <v>11</v>
      </c>
      <c r="B12" s="16" t="n">
        <v>1886</v>
      </c>
      <c r="C12" s="16" t="s">
        <v>18</v>
      </c>
      <c r="D12" s="16" t="s">
        <v>75</v>
      </c>
      <c r="E12" s="17"/>
    </row>
    <row r="13" customFormat="false" ht="12.75" hidden="false" customHeight="false" outlineLevel="0" collapsed="false">
      <c r="A13" s="16" t="n">
        <v>12</v>
      </c>
      <c r="B13" s="16" t="n">
        <v>1886</v>
      </c>
      <c r="C13" s="16" t="s">
        <v>18</v>
      </c>
      <c r="D13" s="16" t="s">
        <v>76</v>
      </c>
      <c r="E13" s="17"/>
    </row>
    <row r="14" customFormat="false" ht="12.75" hidden="false" customHeight="false" outlineLevel="0" collapsed="false">
      <c r="A14" s="16" t="n">
        <v>13</v>
      </c>
      <c r="B14" s="16" t="n">
        <v>1887</v>
      </c>
      <c r="C14" s="16" t="s">
        <v>18</v>
      </c>
      <c r="D14" s="16" t="s">
        <v>77</v>
      </c>
      <c r="E14" s="17"/>
    </row>
    <row r="15" customFormat="false" ht="12.75" hidden="false" customHeight="false" outlineLevel="0" collapsed="false">
      <c r="A15" s="16" t="n">
        <v>14</v>
      </c>
      <c r="B15" s="16" t="n">
        <v>1888</v>
      </c>
      <c r="C15" s="16" t="s">
        <v>18</v>
      </c>
      <c r="D15" s="16" t="s">
        <v>78</v>
      </c>
      <c r="E15" s="17"/>
    </row>
    <row r="16" customFormat="false" ht="12.75" hidden="false" customHeight="false" outlineLevel="0" collapsed="false">
      <c r="A16" s="16" t="n">
        <v>15</v>
      </c>
      <c r="B16" s="16" t="n">
        <v>1891</v>
      </c>
      <c r="C16" s="16" t="s">
        <v>18</v>
      </c>
      <c r="D16" s="16" t="s">
        <v>79</v>
      </c>
      <c r="E16" s="17"/>
    </row>
    <row r="17" customFormat="false" ht="12.75" hidden="false" customHeight="false" outlineLevel="0" collapsed="false">
      <c r="A17" s="16" t="n">
        <v>16</v>
      </c>
      <c r="B17" s="16" t="n">
        <v>1897</v>
      </c>
      <c r="C17" s="16" t="s">
        <v>18</v>
      </c>
      <c r="D17" s="16" t="s">
        <v>80</v>
      </c>
      <c r="E17" s="17"/>
    </row>
    <row r="18" customFormat="false" ht="12.75" hidden="false" customHeight="false" outlineLevel="0" collapsed="false">
      <c r="A18" s="16" t="n">
        <v>1</v>
      </c>
      <c r="B18" s="16" t="n">
        <v>1900</v>
      </c>
      <c r="C18" s="16" t="s">
        <v>18</v>
      </c>
      <c r="D18" s="16" t="s">
        <v>81</v>
      </c>
    </row>
    <row r="19" customFormat="false" ht="12.75" hidden="false" customHeight="false" outlineLevel="0" collapsed="false">
      <c r="A19" s="16" t="n">
        <v>2</v>
      </c>
      <c r="B19" s="16" t="n">
        <v>1902</v>
      </c>
      <c r="C19" s="16" t="s">
        <v>18</v>
      </c>
      <c r="D19" s="16" t="s">
        <v>82</v>
      </c>
    </row>
    <row r="20" customFormat="false" ht="12.75" hidden="false" customHeight="false" outlineLevel="0" collapsed="false">
      <c r="A20" s="16" t="n">
        <v>3</v>
      </c>
      <c r="B20" s="16" t="n">
        <v>1909</v>
      </c>
      <c r="C20" s="16" t="s">
        <v>18</v>
      </c>
      <c r="D20" s="16" t="s">
        <v>83</v>
      </c>
    </row>
    <row r="21" customFormat="false" ht="12.75" hidden="false" customHeight="false" outlineLevel="0" collapsed="false">
      <c r="A21" s="16" t="n">
        <v>4</v>
      </c>
      <c r="B21" s="16" t="n">
        <v>1909</v>
      </c>
      <c r="C21" s="16" t="s">
        <v>18</v>
      </c>
      <c r="D21" s="16" t="s">
        <v>84</v>
      </c>
    </row>
    <row r="22" customFormat="false" ht="12.75" hidden="false" customHeight="false" outlineLevel="0" collapsed="false">
      <c r="A22" s="16" t="n">
        <v>5</v>
      </c>
      <c r="B22" s="16" t="n">
        <v>1910</v>
      </c>
      <c r="C22" s="16" t="s">
        <v>18</v>
      </c>
      <c r="D22" s="16" t="s">
        <v>85</v>
      </c>
    </row>
    <row r="23" customFormat="false" ht="12.75" hidden="false" customHeight="false" outlineLevel="0" collapsed="false">
      <c r="A23" s="16" t="n">
        <v>6</v>
      </c>
      <c r="B23" s="16" t="n">
        <v>1912</v>
      </c>
      <c r="C23" s="16" t="s">
        <v>18</v>
      </c>
      <c r="D23" s="16" t="s">
        <v>86</v>
      </c>
    </row>
    <row r="24" customFormat="false" ht="12.75" hidden="false" customHeight="false" outlineLevel="0" collapsed="false">
      <c r="A24" s="16" t="n">
        <v>7</v>
      </c>
      <c r="B24" s="16" t="n">
        <v>1913</v>
      </c>
      <c r="C24" s="16" t="s">
        <v>18</v>
      </c>
      <c r="D24" s="16" t="s">
        <v>82</v>
      </c>
    </row>
    <row r="25" customFormat="false" ht="12.75" hidden="false" customHeight="false" outlineLevel="0" collapsed="false">
      <c r="A25" s="16" t="n">
        <v>8</v>
      </c>
      <c r="B25" s="16" t="n">
        <v>1915</v>
      </c>
      <c r="C25" s="16" t="s">
        <v>18</v>
      </c>
      <c r="D25" s="16" t="s">
        <v>87</v>
      </c>
    </row>
    <row r="26" customFormat="false" ht="12.75" hidden="false" customHeight="false" outlineLevel="0" collapsed="false">
      <c r="A26" s="16" t="n">
        <v>9</v>
      </c>
      <c r="B26" s="16" t="n">
        <v>1916</v>
      </c>
      <c r="C26" s="16" t="s">
        <v>18</v>
      </c>
      <c r="D26" s="16" t="s">
        <v>88</v>
      </c>
    </row>
    <row r="27" customFormat="false" ht="12.75" hidden="false" customHeight="false" outlineLevel="0" collapsed="false">
      <c r="A27" s="16" t="n">
        <v>10</v>
      </c>
      <c r="B27" s="16" t="n">
        <v>1918</v>
      </c>
      <c r="C27" s="16" t="s">
        <v>18</v>
      </c>
      <c r="D27" s="16" t="s">
        <v>89</v>
      </c>
    </row>
    <row r="28" customFormat="false" ht="12.75" hidden="false" customHeight="false" outlineLevel="0" collapsed="false">
      <c r="A28" s="16" t="n">
        <v>11</v>
      </c>
      <c r="B28" s="16" t="n">
        <v>1919</v>
      </c>
      <c r="C28" s="16" t="s">
        <v>18</v>
      </c>
      <c r="D28" s="16" t="s">
        <v>90</v>
      </c>
    </row>
    <row r="29" customFormat="false" ht="12.75" hidden="false" customHeight="false" outlineLevel="0" collapsed="false">
      <c r="A29" s="16" t="n">
        <v>12</v>
      </c>
      <c r="B29" s="16" t="n">
        <v>1921</v>
      </c>
      <c r="C29" s="16" t="s">
        <v>18</v>
      </c>
      <c r="D29" s="16" t="s">
        <v>91</v>
      </c>
    </row>
    <row r="30" customFormat="false" ht="12.75" hidden="false" customHeight="false" outlineLevel="0" collapsed="false">
      <c r="A30" s="16" t="n">
        <v>13</v>
      </c>
      <c r="B30" s="16" t="n">
        <v>1929</v>
      </c>
      <c r="C30" s="16" t="s">
        <v>18</v>
      </c>
      <c r="D30" s="16" t="s">
        <v>92</v>
      </c>
    </row>
    <row r="31" customFormat="false" ht="12.75" hidden="false" customHeight="false" outlineLevel="0" collapsed="false">
      <c r="A31" s="16" t="n">
        <v>14</v>
      </c>
      <c r="B31" s="16" t="n">
        <v>1932</v>
      </c>
      <c r="C31" s="16" t="s">
        <v>18</v>
      </c>
      <c r="D31" s="16" t="s">
        <v>93</v>
      </c>
    </row>
    <row r="32" customFormat="false" ht="12.75" hidden="false" customHeight="false" outlineLevel="0" collapsed="false">
      <c r="A32" s="16" t="n">
        <v>15</v>
      </c>
      <c r="B32" s="16" t="n">
        <v>1933</v>
      </c>
      <c r="C32" s="16" t="s">
        <v>18</v>
      </c>
      <c r="D32" s="16" t="s">
        <v>94</v>
      </c>
    </row>
    <row r="33" customFormat="false" ht="12.75" hidden="false" customHeight="false" outlineLevel="0" collapsed="false">
      <c r="A33" s="16" t="n">
        <v>16</v>
      </c>
      <c r="B33" s="16" t="n">
        <v>1934</v>
      </c>
      <c r="C33" s="16" t="s">
        <v>18</v>
      </c>
      <c r="D33" s="16" t="s">
        <v>95</v>
      </c>
    </row>
    <row r="34" customFormat="false" ht="12.75" hidden="false" customHeight="false" outlineLevel="0" collapsed="false">
      <c r="A34" s="16" t="n">
        <v>1</v>
      </c>
      <c r="B34" s="16" t="n">
        <v>1936</v>
      </c>
      <c r="C34" s="16" t="s">
        <v>18</v>
      </c>
      <c r="D34" s="16" t="s">
        <v>96</v>
      </c>
    </row>
    <row r="35" customFormat="false" ht="12.75" hidden="false" customHeight="false" outlineLevel="0" collapsed="false">
      <c r="A35" s="16" t="n">
        <v>2</v>
      </c>
      <c r="B35" s="16" t="n">
        <v>1941</v>
      </c>
      <c r="C35" s="16" t="s">
        <v>18</v>
      </c>
      <c r="D35" s="16" t="s">
        <v>97</v>
      </c>
    </row>
    <row r="36" customFormat="false" ht="12.75" hidden="false" customHeight="false" outlineLevel="0" collapsed="false">
      <c r="A36" s="16" t="n">
        <v>3</v>
      </c>
      <c r="B36" s="16" t="n">
        <v>1942</v>
      </c>
      <c r="C36" s="16" t="s">
        <v>18</v>
      </c>
      <c r="D36" s="16" t="s">
        <v>98</v>
      </c>
    </row>
    <row r="37" customFormat="false" ht="12.75" hidden="false" customHeight="false" outlineLevel="0" collapsed="false">
      <c r="A37" s="16" t="n">
        <v>4</v>
      </c>
      <c r="B37" s="16" t="n">
        <v>1942</v>
      </c>
      <c r="C37" s="16" t="s">
        <v>18</v>
      </c>
      <c r="D37" s="16" t="s">
        <v>99</v>
      </c>
    </row>
    <row r="38" customFormat="false" ht="12.75" hidden="false" customHeight="false" outlineLevel="0" collapsed="false">
      <c r="A38" s="16" t="n">
        <v>5</v>
      </c>
      <c r="B38" s="16" t="n">
        <v>1943</v>
      </c>
      <c r="C38" s="16" t="s">
        <v>18</v>
      </c>
      <c r="D38" s="16" t="s">
        <v>100</v>
      </c>
    </row>
    <row r="39" customFormat="false" ht="12.75" hidden="false" customHeight="false" outlineLevel="0" collapsed="false">
      <c r="A39" s="16" t="n">
        <v>6</v>
      </c>
      <c r="B39" s="16" t="n">
        <v>1945</v>
      </c>
      <c r="C39" s="16" t="s">
        <v>18</v>
      </c>
      <c r="D39" s="16" t="s">
        <v>101</v>
      </c>
    </row>
    <row r="40" customFormat="false" ht="12.75" hidden="false" customHeight="false" outlineLevel="0" collapsed="false">
      <c r="A40" s="16" t="n">
        <v>7</v>
      </c>
      <c r="B40" s="16" t="n">
        <v>1947</v>
      </c>
      <c r="C40" s="16" t="s">
        <v>18</v>
      </c>
      <c r="D40" s="16" t="s">
        <v>102</v>
      </c>
    </row>
    <row r="41" customFormat="false" ht="12.75" hidden="false" customHeight="false" outlineLevel="0" collapsed="false">
      <c r="A41" s="16" t="n">
        <v>8</v>
      </c>
      <c r="B41" s="16" t="n">
        <v>1949</v>
      </c>
      <c r="C41" s="16" t="s">
        <v>18</v>
      </c>
      <c r="D41" s="16" t="s">
        <v>103</v>
      </c>
    </row>
    <row r="42" customFormat="false" ht="12.75" hidden="false" customHeight="false" outlineLevel="0" collapsed="false">
      <c r="A42" s="16" t="n">
        <v>9</v>
      </c>
      <c r="B42" s="16" t="n">
        <v>1957</v>
      </c>
      <c r="C42" s="16" t="s">
        <v>21</v>
      </c>
      <c r="D42" s="16" t="s">
        <v>104</v>
      </c>
    </row>
    <row r="43" customFormat="false" ht="12.75" hidden="false" customHeight="false" outlineLevel="0" collapsed="false">
      <c r="A43" s="16" t="n">
        <v>10</v>
      </c>
      <c r="B43" s="16" t="n">
        <v>1959</v>
      </c>
      <c r="C43" s="16" t="s">
        <v>105</v>
      </c>
      <c r="D43" s="16" t="s">
        <v>106</v>
      </c>
    </row>
    <row r="44" customFormat="false" ht="12.75" hidden="false" customHeight="false" outlineLevel="0" collapsed="false">
      <c r="A44" s="16" t="n">
        <v>11</v>
      </c>
      <c r="B44" s="16" t="n">
        <v>1961</v>
      </c>
      <c r="C44" s="16" t="s">
        <v>23</v>
      </c>
      <c r="D44" s="16" t="s">
        <v>107</v>
      </c>
    </row>
    <row r="45" customFormat="false" ht="12.75" hidden="false" customHeight="false" outlineLevel="0" collapsed="false">
      <c r="A45" s="16" t="n">
        <v>12</v>
      </c>
      <c r="B45" s="16" t="n">
        <v>1963</v>
      </c>
      <c r="C45" s="16" t="s">
        <v>108</v>
      </c>
      <c r="D45" s="16" t="s">
        <v>109</v>
      </c>
    </row>
    <row r="46" customFormat="false" ht="12.75" hidden="false" customHeight="false" outlineLevel="0" collapsed="false">
      <c r="A46" s="16" t="n">
        <v>13</v>
      </c>
      <c r="B46" s="16" t="n">
        <v>1967</v>
      </c>
      <c r="C46" s="16" t="s">
        <v>25</v>
      </c>
      <c r="D46" s="16" t="s">
        <v>110</v>
      </c>
    </row>
    <row r="47" customFormat="false" ht="12.75" hidden="false" customHeight="false" outlineLevel="0" collapsed="false">
      <c r="A47" s="16" t="n">
        <v>14</v>
      </c>
      <c r="B47" s="16" t="n">
        <v>1970</v>
      </c>
      <c r="C47" s="16" t="s">
        <v>27</v>
      </c>
      <c r="D47" s="16" t="s">
        <v>111</v>
      </c>
    </row>
    <row r="48" customFormat="false" ht="12.75" hidden="false" customHeight="false" outlineLevel="0" collapsed="false">
      <c r="A48" s="16" t="n">
        <v>1</v>
      </c>
      <c r="B48" s="16" t="n">
        <v>1980</v>
      </c>
      <c r="C48" s="16" t="s">
        <v>29</v>
      </c>
      <c r="D48" s="16" t="s">
        <v>112</v>
      </c>
    </row>
    <row r="49" customFormat="false" ht="12.75" hidden="false" customHeight="false" outlineLevel="0" collapsed="false">
      <c r="A49" s="16" t="n">
        <v>2</v>
      </c>
      <c r="B49" s="16" t="n">
        <v>1983</v>
      </c>
      <c r="C49" s="16" t="s">
        <v>113</v>
      </c>
      <c r="D49" s="16" t="s">
        <v>114</v>
      </c>
    </row>
    <row r="50" customFormat="false" ht="12.75" hidden="false" customHeight="false" outlineLevel="0" collapsed="false">
      <c r="A50" s="16" t="n">
        <v>3</v>
      </c>
      <c r="B50" s="16" t="n">
        <v>1986</v>
      </c>
      <c r="C50" s="16" t="s">
        <v>115</v>
      </c>
      <c r="D50" s="16" t="s">
        <v>116</v>
      </c>
    </row>
    <row r="51" customFormat="false" ht="12.75" hidden="false" customHeight="false" outlineLevel="0" collapsed="false">
      <c r="A51" s="16" t="n">
        <v>4</v>
      </c>
      <c r="B51" s="16" t="n">
        <v>1989</v>
      </c>
      <c r="C51" s="16" t="s">
        <v>117</v>
      </c>
      <c r="D51" s="16" t="s">
        <v>118</v>
      </c>
    </row>
    <row r="52" customFormat="false" ht="12.75" hidden="false" customHeight="false" outlineLevel="0" collapsed="false">
      <c r="A52" s="16" t="n">
        <v>5</v>
      </c>
      <c r="B52" s="16" t="n">
        <v>1989</v>
      </c>
      <c r="C52" s="16" t="s">
        <v>119</v>
      </c>
      <c r="D52" s="16" t="s">
        <v>120</v>
      </c>
    </row>
    <row r="53" customFormat="false" ht="12.75" hidden="false" customHeight="false" outlineLevel="0" collapsed="false">
      <c r="A53" s="16" t="n">
        <v>6</v>
      </c>
      <c r="B53" s="16" t="n">
        <v>1999</v>
      </c>
      <c r="C53" s="16" t="s">
        <v>31</v>
      </c>
      <c r="D53" s="16" t="s">
        <v>121</v>
      </c>
    </row>
    <row r="54" customFormat="false" ht="12.75" hidden="false" customHeight="false" outlineLevel="0" collapsed="false">
      <c r="A54" s="16" t="n">
        <v>7</v>
      </c>
      <c r="B54" s="16" t="n">
        <v>2003</v>
      </c>
      <c r="C54" s="16" t="s">
        <v>48</v>
      </c>
      <c r="D54" s="16" t="s">
        <v>122</v>
      </c>
    </row>
    <row r="55" customFormat="false" ht="12.75" hidden="false" customHeight="false" outlineLevel="0" collapsed="false">
      <c r="A55" s="16" t="n">
        <v>8</v>
      </c>
      <c r="B55" s="16" t="n">
        <v>2005</v>
      </c>
      <c r="C55" s="16" t="s">
        <v>43</v>
      </c>
      <c r="D55" s="16" t="s">
        <v>123</v>
      </c>
    </row>
    <row r="56" customFormat="false" ht="12.75" hidden="false" customHeight="false" outlineLevel="0" collapsed="false">
      <c r="A56" s="16" t="n">
        <v>9</v>
      </c>
      <c r="B56" s="16" t="n">
        <v>2007</v>
      </c>
      <c r="C56" s="16" t="s">
        <v>50</v>
      </c>
      <c r="D56" s="16" t="s">
        <v>124</v>
      </c>
    </row>
    <row r="57" customFormat="false" ht="12.75" hidden="false" customHeight="false" outlineLevel="0" collapsed="false">
      <c r="A57" s="16" t="n">
        <v>10</v>
      </c>
      <c r="B57" s="16" t="n">
        <v>2008</v>
      </c>
      <c r="C57" s="16" t="s">
        <v>52</v>
      </c>
      <c r="D57" s="16" t="s">
        <v>125</v>
      </c>
    </row>
    <row r="58" customFormat="false" ht="12.75" hidden="false" customHeight="false" outlineLevel="0" collapsed="false">
      <c r="A58" s="16" t="n">
        <v>11</v>
      </c>
      <c r="B58" s="16" t="n">
        <v>2008</v>
      </c>
      <c r="C58" s="16" t="s">
        <v>54</v>
      </c>
      <c r="D58" s="16" t="s">
        <v>126</v>
      </c>
    </row>
  </sheetData>
  <mergeCells count="1">
    <mergeCell ref="E1:F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469"/>
  <sheetViews>
    <sheetView windowProtection="false" showFormulas="false" showGridLines="true" showRowColHeaders="true" showZeros="true" rightToLeft="false" tabSelected="false" showOutlineSymbols="true" defaultGridColor="true" view="normal" topLeftCell="A31" colorId="64" zoomScale="110" zoomScaleNormal="110" zoomScalePageLayoutView="100" workbookViewId="0">
      <selection pane="topLeft" activeCell="N32" activeCellId="0" sqref="N32"/>
    </sheetView>
  </sheetViews>
  <sheetFormatPr defaultRowHeight="12.75"/>
  <cols>
    <col collapsed="false" hidden="false" max="1" min="1" style="18" width="9.14285714285714"/>
    <col collapsed="false" hidden="false" max="2" min="2" style="18" width="9.70918367346939"/>
    <col collapsed="false" hidden="false" max="3" min="3" style="18" width="10.8520408163265"/>
    <col collapsed="false" hidden="false" max="4" min="4" style="18" width="14.5714285714286"/>
    <col collapsed="false" hidden="false" max="5" min="5" style="18" width="10.5765306122449"/>
    <col collapsed="false" hidden="false" max="8" min="6" style="18" width="10.9948979591837"/>
    <col collapsed="false" hidden="false" max="9" min="9" style="18" width="10.1428571428571"/>
    <col collapsed="false" hidden="false" max="10" min="10" style="18" width="10.4285714285714"/>
    <col collapsed="false" hidden="false" max="13" min="11" style="18" width="9.14285714285714"/>
    <col collapsed="false" hidden="false" max="14" min="14" style="18" width="15.7142857142857"/>
    <col collapsed="false" hidden="false" max="15" min="15" style="18" width="11.5714285714286"/>
    <col collapsed="false" hidden="false" max="16" min="16" style="18" width="16.1428571428571"/>
    <col collapsed="false" hidden="false" max="1025" min="17" style="18" width="9.14285714285714"/>
  </cols>
  <sheetData>
    <row r="1" customFormat="false" ht="63.75" hidden="false" customHeight="false" outlineLevel="0" collapsed="false">
      <c r="A1" s="19" t="s">
        <v>127</v>
      </c>
      <c r="B1" s="20" t="s">
        <v>128</v>
      </c>
      <c r="C1" s="20" t="s">
        <v>129</v>
      </c>
      <c r="D1" s="20" t="s">
        <v>130</v>
      </c>
      <c r="E1" s="20" t="s">
        <v>15</v>
      </c>
      <c r="F1" s="21" t="s">
        <v>131</v>
      </c>
      <c r="G1" s="20" t="s">
        <v>132</v>
      </c>
      <c r="H1" s="20" t="s">
        <v>14</v>
      </c>
      <c r="I1" s="20" t="s">
        <v>9</v>
      </c>
      <c r="J1" s="20" t="s">
        <v>133</v>
      </c>
      <c r="K1" s="19" t="s">
        <v>134</v>
      </c>
      <c r="L1" s="14"/>
      <c r="M1" s="14"/>
      <c r="N1" s="0"/>
      <c r="O1" s="0"/>
      <c r="P1" s="0"/>
    </row>
    <row r="2" customFormat="false" ht="12.75" hidden="false" customHeight="false" outlineLevel="0" collapsed="false">
      <c r="A2" s="0"/>
      <c r="B2" s="0"/>
      <c r="C2" s="0"/>
      <c r="D2" s="0"/>
      <c r="E2" s="0"/>
      <c r="F2" s="0"/>
      <c r="G2" s="0"/>
      <c r="H2" s="0"/>
      <c r="I2" s="0"/>
      <c r="N2" s="0"/>
      <c r="O2" s="0"/>
      <c r="P2" s="0"/>
    </row>
    <row r="3" customFormat="false" ht="12.75" hidden="false" customHeight="false" outlineLevel="0" collapsed="false">
      <c r="A3" s="0"/>
      <c r="B3" s="0"/>
      <c r="C3" s="0"/>
      <c r="D3" s="0"/>
      <c r="E3" s="0"/>
      <c r="F3" s="0"/>
      <c r="G3" s="0"/>
      <c r="H3" s="0"/>
      <c r="I3" s="0"/>
      <c r="N3" s="0"/>
      <c r="O3" s="0"/>
      <c r="P3" s="0"/>
    </row>
    <row r="4" customFormat="false" ht="12.75" hidden="false" customHeight="false" outlineLevel="0" collapsed="false">
      <c r="A4" s="0"/>
      <c r="B4" s="20" t="n">
        <v>1851</v>
      </c>
      <c r="C4" s="20" t="s">
        <v>18</v>
      </c>
      <c r="D4" s="20" t="s">
        <v>65</v>
      </c>
      <c r="E4" s="0"/>
      <c r="F4" s="0"/>
      <c r="G4" s="0"/>
      <c r="H4" s="0"/>
      <c r="I4" s="0"/>
      <c r="N4" s="0"/>
      <c r="O4" s="0"/>
      <c r="P4" s="0"/>
    </row>
    <row r="5" customFormat="false" ht="12.75" hidden="false" customHeight="false" outlineLevel="0" collapsed="false">
      <c r="A5" s="0"/>
      <c r="B5" s="0"/>
      <c r="C5" s="0"/>
      <c r="D5" s="0"/>
      <c r="E5" s="0"/>
      <c r="F5" s="0"/>
      <c r="G5" s="0"/>
      <c r="H5" s="0"/>
      <c r="I5" s="0"/>
      <c r="N5" s="0"/>
      <c r="O5" s="0"/>
      <c r="P5" s="0"/>
    </row>
    <row r="6" customFormat="false" ht="12.75" hidden="false" customHeight="false" outlineLevel="0" collapsed="false">
      <c r="A6" s="18" t="n">
        <v>1</v>
      </c>
      <c r="B6" s="18" t="n">
        <v>1</v>
      </c>
      <c r="C6" s="18" t="n">
        <v>28</v>
      </c>
      <c r="D6" s="18" t="n">
        <v>-94.8</v>
      </c>
      <c r="E6" s="18" t="n">
        <v>80</v>
      </c>
      <c r="F6" s="18" t="n">
        <f aca="false">E6*0.5144</f>
        <v>41.152</v>
      </c>
      <c r="G6" s="0"/>
      <c r="H6" s="0"/>
      <c r="I6" s="18" t="n">
        <v>0</v>
      </c>
      <c r="N6" s="0"/>
      <c r="O6" s="0"/>
      <c r="P6" s="0"/>
    </row>
    <row r="7" customFormat="false" ht="12.75" hidden="false" customHeight="false" outlineLevel="0" collapsed="false">
      <c r="A7" s="18" t="n">
        <f aca="false">A6+0.25</f>
        <v>1.25</v>
      </c>
      <c r="B7" s="18" t="n">
        <f aca="false">B6+0.25</f>
        <v>1.25</v>
      </c>
      <c r="C7" s="18" t="n">
        <v>28</v>
      </c>
      <c r="D7" s="18" t="n">
        <v>-95.4</v>
      </c>
      <c r="E7" s="18" t="n">
        <v>80</v>
      </c>
      <c r="F7" s="18" t="n">
        <f aca="false">E7*0.5144</f>
        <v>41.152</v>
      </c>
      <c r="G7" s="22" t="e">
        <f aca="false">arclethnm(C6,D6,C7,D7)/6</f>
        <v>#NAME?</v>
      </c>
      <c r="H7" s="22" t="e">
        <f aca="false">G7*0.5144</f>
        <v>#NAME?</v>
      </c>
      <c r="I7" s="18" t="n">
        <v>0</v>
      </c>
      <c r="N7" s="0"/>
      <c r="O7" s="0"/>
      <c r="P7" s="0"/>
    </row>
    <row r="8" customFormat="false" ht="12.75" hidden="false" customHeight="false" outlineLevel="0" collapsed="false">
      <c r="A8" s="18" t="n">
        <f aca="false">A7+0.25</f>
        <v>1.5</v>
      </c>
      <c r="B8" s="18" t="n">
        <f aca="false">B7+0.25</f>
        <v>1.5</v>
      </c>
      <c r="C8" s="18" t="n">
        <v>28</v>
      </c>
      <c r="D8" s="18" t="n">
        <v>-96</v>
      </c>
      <c r="E8" s="18" t="n">
        <v>80</v>
      </c>
      <c r="F8" s="18" t="n">
        <f aca="false">E8*0.5144</f>
        <v>41.152</v>
      </c>
      <c r="G8" s="22" t="e">
        <f aca="false">arclethnm(C7,D7,C8,D8)/6</f>
        <v>#NAME?</v>
      </c>
      <c r="H8" s="22" t="e">
        <f aca="false">G8*0.5144</f>
        <v>#NAME?</v>
      </c>
      <c r="I8" s="18" t="n">
        <v>0</v>
      </c>
      <c r="N8" s="0"/>
      <c r="O8" s="0"/>
      <c r="P8" s="0"/>
    </row>
    <row r="9" customFormat="false" ht="12.75" hidden="false" customHeight="false" outlineLevel="0" collapsed="false">
      <c r="A9" s="18" t="n">
        <f aca="false">A8+0.25</f>
        <v>1.75</v>
      </c>
      <c r="B9" s="18" t="n">
        <f aca="false">B8+0.25</f>
        <v>1.75</v>
      </c>
      <c r="C9" s="18" t="n">
        <v>28.1</v>
      </c>
      <c r="D9" s="18" t="n">
        <v>-96.5</v>
      </c>
      <c r="E9" s="18" t="n">
        <v>80</v>
      </c>
      <c r="F9" s="18" t="n">
        <f aca="false">E9*0.5144</f>
        <v>41.152</v>
      </c>
      <c r="G9" s="22" t="e">
        <f aca="false">arclethnm(C8,D8,C9,D9)/6</f>
        <v>#NAME?</v>
      </c>
      <c r="H9" s="22" t="e">
        <f aca="false">G9*0.5144</f>
        <v>#NAME?</v>
      </c>
      <c r="I9" s="18" t="n">
        <v>0</v>
      </c>
      <c r="N9" s="0"/>
      <c r="O9" s="0"/>
      <c r="P9" s="0"/>
    </row>
    <row r="10" customFormat="false" ht="12.75" hidden="false" customHeight="false" outlineLevel="0" collapsed="false">
      <c r="A10" s="18" t="n">
        <f aca="false">A9+0.25</f>
        <v>2</v>
      </c>
      <c r="B10" s="18" t="n">
        <f aca="false">B9+0.25</f>
        <v>2</v>
      </c>
      <c r="C10" s="18" t="n">
        <v>28.2</v>
      </c>
      <c r="D10" s="18" t="n">
        <v>-96.8</v>
      </c>
      <c r="E10" s="18" t="n">
        <v>80</v>
      </c>
      <c r="F10" s="18" t="n">
        <f aca="false">E10*0.5144</f>
        <v>41.152</v>
      </c>
      <c r="G10" s="22" t="e">
        <f aca="false">arclethnm(C9,D9,C10,D10)/6</f>
        <v>#NAME?</v>
      </c>
      <c r="H10" s="22" t="e">
        <f aca="false">G10*0.5144</f>
        <v>#NAME?</v>
      </c>
      <c r="I10" s="18" t="n">
        <v>0</v>
      </c>
      <c r="N10" s="0"/>
      <c r="O10" s="0"/>
      <c r="P10" s="0"/>
    </row>
    <row r="11" customFormat="false" ht="12.75" hidden="false" customHeight="false" outlineLevel="0" collapsed="false">
      <c r="A11" s="18" t="n">
        <f aca="false">A10+0.25</f>
        <v>2.25</v>
      </c>
      <c r="B11" s="18" t="n">
        <f aca="false">B10+0.25</f>
        <v>2.25</v>
      </c>
      <c r="C11" s="18" t="n">
        <v>28.2</v>
      </c>
      <c r="D11" s="18" t="n">
        <v>-97</v>
      </c>
      <c r="E11" s="18" t="n">
        <v>70</v>
      </c>
      <c r="F11" s="18" t="n">
        <f aca="false">E11*0.5144</f>
        <v>36.008</v>
      </c>
      <c r="G11" s="22" t="e">
        <f aca="false">arclethnm(C10,D10,C11,D11)/6</f>
        <v>#NAME?</v>
      </c>
      <c r="H11" s="22" t="e">
        <f aca="false">G11*0.5144</f>
        <v>#NAME?</v>
      </c>
      <c r="I11" s="18" t="n">
        <v>0</v>
      </c>
      <c r="N11" s="0"/>
      <c r="O11" s="0"/>
      <c r="P11" s="0"/>
    </row>
    <row r="12" customFormat="false" ht="12.75" hidden="false" customHeight="false" outlineLevel="0" collapsed="false">
      <c r="A12" s="18" t="n">
        <f aca="false">A11+0.25</f>
        <v>2.5</v>
      </c>
      <c r="B12" s="18" t="n">
        <f aca="false">B11+0.25</f>
        <v>2.5</v>
      </c>
      <c r="C12" s="18" t="n">
        <v>28.3</v>
      </c>
      <c r="D12" s="18" t="n">
        <v>-97.6</v>
      </c>
      <c r="E12" s="18" t="n">
        <v>60</v>
      </c>
      <c r="F12" s="18" t="n">
        <f aca="false">E12*0.5144</f>
        <v>30.864</v>
      </c>
      <c r="G12" s="22" t="e">
        <f aca="false">arclethnm(C11,D11,C12,D12)/6</f>
        <v>#NAME?</v>
      </c>
      <c r="H12" s="22" t="e">
        <f aca="false">G12*0.5144</f>
        <v>#NAME?</v>
      </c>
      <c r="I12" s="18" t="n">
        <v>0</v>
      </c>
      <c r="N12" s="0"/>
      <c r="O12" s="0"/>
      <c r="P12" s="0"/>
    </row>
    <row r="13" customFormat="false" ht="12.75" hidden="false" customHeight="false" outlineLevel="0" collapsed="false">
      <c r="A13" s="18" t="n">
        <f aca="false">A12+0.25</f>
        <v>2.75</v>
      </c>
      <c r="B13" s="18" t="n">
        <f aca="false">B12+0.25</f>
        <v>2.75</v>
      </c>
      <c r="C13" s="18" t="n">
        <v>28.4</v>
      </c>
      <c r="D13" s="18" t="n">
        <v>-98.3</v>
      </c>
      <c r="E13" s="18" t="n">
        <v>60</v>
      </c>
      <c r="F13" s="18" t="n">
        <f aca="false">E13*0.5144</f>
        <v>30.864</v>
      </c>
      <c r="G13" s="22" t="e">
        <f aca="false">arclethnm(C12,D12,C13,D13)/6</f>
        <v>#NAME?</v>
      </c>
      <c r="H13" s="22" t="e">
        <f aca="false">G13*0.5144</f>
        <v>#NAME?</v>
      </c>
      <c r="I13" s="18" t="n">
        <v>0</v>
      </c>
      <c r="N13" s="0"/>
      <c r="O13" s="0"/>
      <c r="P13" s="0"/>
    </row>
    <row r="14" customFormat="false" ht="12.75" hidden="false" customHeight="false" outlineLevel="0" collapsed="false">
      <c r="A14" s="18" t="n">
        <f aca="false">A13+0.25</f>
        <v>3</v>
      </c>
      <c r="B14" s="18" t="n">
        <f aca="false">B13+0.25</f>
        <v>3</v>
      </c>
      <c r="C14" s="18" t="n">
        <v>28.6</v>
      </c>
      <c r="D14" s="18" t="n">
        <v>-98.9</v>
      </c>
      <c r="E14" s="18" t="n">
        <v>50</v>
      </c>
      <c r="F14" s="18" t="n">
        <f aca="false">E14*0.5144</f>
        <v>25.72</v>
      </c>
      <c r="G14" s="22" t="e">
        <f aca="false">arclethnm(C13,D13,C14,D14)/6</f>
        <v>#NAME?</v>
      </c>
      <c r="H14" s="22" t="e">
        <f aca="false">G14*0.5144</f>
        <v>#NAME?</v>
      </c>
      <c r="I14" s="18" t="n">
        <v>0</v>
      </c>
      <c r="N14" s="0"/>
      <c r="O14" s="0"/>
      <c r="P14" s="0"/>
    </row>
    <row r="15" customFormat="false" ht="12.75" hidden="false" customHeight="false" outlineLevel="0" collapsed="false">
      <c r="A15" s="18" t="n">
        <f aca="false">A14+0.25</f>
        <v>3.25</v>
      </c>
      <c r="B15" s="18" t="n">
        <f aca="false">B14+0.25</f>
        <v>3.25</v>
      </c>
      <c r="C15" s="18" t="n">
        <v>29</v>
      </c>
      <c r="D15" s="18" t="n">
        <v>-99.4</v>
      </c>
      <c r="E15" s="18" t="n">
        <v>50</v>
      </c>
      <c r="F15" s="18" t="n">
        <f aca="false">E15*0.5144</f>
        <v>25.72</v>
      </c>
      <c r="G15" s="22" t="e">
        <f aca="false">arclethnm(C14,D14,C15,D15)/6</f>
        <v>#NAME?</v>
      </c>
      <c r="H15" s="22" t="e">
        <f aca="false">G15*0.5144</f>
        <v>#NAME?</v>
      </c>
      <c r="I15" s="18" t="n">
        <v>0</v>
      </c>
      <c r="N15" s="0"/>
      <c r="O15" s="0"/>
      <c r="P15" s="0"/>
    </row>
    <row r="16" customFormat="false" ht="12.75" hidden="false" customHeight="false" outlineLevel="0" collapsed="false">
      <c r="A16" s="18" t="n">
        <f aca="false">A15+0.25</f>
        <v>3.5</v>
      </c>
      <c r="B16" s="18" t="n">
        <f aca="false">B15+0.25</f>
        <v>3.5</v>
      </c>
      <c r="C16" s="18" t="n">
        <v>29.5</v>
      </c>
      <c r="D16" s="18" t="n">
        <v>-99.8</v>
      </c>
      <c r="E16" s="18" t="n">
        <v>40</v>
      </c>
      <c r="F16" s="18" t="n">
        <f aca="false">E16*0.5144</f>
        <v>20.576</v>
      </c>
      <c r="G16" s="22" t="e">
        <f aca="false">arclethnm(C15,D15,C16,D16)/6</f>
        <v>#NAME?</v>
      </c>
      <c r="H16" s="22" t="e">
        <f aca="false">G16*0.5144</f>
        <v>#NAME?</v>
      </c>
      <c r="I16" s="18" t="n">
        <v>0</v>
      </c>
      <c r="N16" s="0"/>
      <c r="O16" s="0"/>
      <c r="P16" s="0"/>
    </row>
    <row r="17" customFormat="false" ht="12.75" hidden="false" customHeight="false" outlineLevel="0" collapsed="false">
      <c r="A17" s="18" t="n">
        <f aca="false">A16+0.25</f>
        <v>3.75</v>
      </c>
      <c r="B17" s="18" t="n">
        <f aca="false">B16+0.25</f>
        <v>3.75</v>
      </c>
      <c r="C17" s="18" t="n">
        <v>30</v>
      </c>
      <c r="D17" s="18" t="n">
        <v>-100</v>
      </c>
      <c r="E17" s="18" t="n">
        <v>40</v>
      </c>
      <c r="F17" s="18" t="n">
        <f aca="false">E17*0.5144</f>
        <v>20.576</v>
      </c>
      <c r="G17" s="22" t="e">
        <f aca="false">arclethnm(C16,D16,C17,D17)/6</f>
        <v>#NAME?</v>
      </c>
      <c r="H17" s="22" t="e">
        <f aca="false">G17*0.5144</f>
        <v>#NAME?</v>
      </c>
      <c r="I17" s="18" t="n">
        <v>0</v>
      </c>
      <c r="N17" s="0"/>
      <c r="O17" s="0"/>
      <c r="P17" s="0"/>
    </row>
    <row r="18" customFormat="false" ht="12.75" hidden="false" customHeight="false" outlineLevel="0" collapsed="false">
      <c r="A18" s="18" t="n">
        <f aca="false">A17+0.25</f>
        <v>4</v>
      </c>
      <c r="B18" s="18" t="n">
        <f aca="false">B17+0.25</f>
        <v>4</v>
      </c>
      <c r="C18" s="18" t="n">
        <v>30.5</v>
      </c>
      <c r="D18" s="18" t="n">
        <v>-100.1</v>
      </c>
      <c r="E18" s="18" t="n">
        <v>40</v>
      </c>
      <c r="F18" s="18" t="n">
        <f aca="false">E18*0.5144</f>
        <v>20.576</v>
      </c>
      <c r="G18" s="22" t="e">
        <f aca="false">arclethnm(C17,D17,C18,D18)/6</f>
        <v>#NAME?</v>
      </c>
      <c r="H18" s="22" t="e">
        <f aca="false">G18*0.5144</f>
        <v>#NAME?</v>
      </c>
      <c r="I18" s="18" t="n">
        <v>0</v>
      </c>
      <c r="N18" s="0"/>
      <c r="O18" s="0"/>
      <c r="P18" s="0"/>
    </row>
    <row r="19" customFormat="false" ht="12.75" hidden="false" customHeight="false" outlineLevel="0" collapsed="false">
      <c r="A19" s="18" t="n">
        <f aca="false">A18+0.25</f>
        <v>4.25</v>
      </c>
      <c r="B19" s="18" t="n">
        <f aca="false">B18+0.25</f>
        <v>4.25</v>
      </c>
      <c r="C19" s="18" t="n">
        <v>31</v>
      </c>
      <c r="D19" s="18" t="n">
        <v>-100.2</v>
      </c>
      <c r="E19" s="18" t="n">
        <v>40</v>
      </c>
      <c r="F19" s="18" t="n">
        <f aca="false">E19*0.5144</f>
        <v>20.576</v>
      </c>
      <c r="G19" s="22" t="e">
        <f aca="false">arclethnm(C18,D18,C19,D19)/6</f>
        <v>#NAME?</v>
      </c>
      <c r="H19" s="22" t="e">
        <f aca="false">G19*0.5144</f>
        <v>#NAME?</v>
      </c>
      <c r="I19" s="18" t="n">
        <v>0</v>
      </c>
      <c r="N19" s="0"/>
      <c r="O19" s="0"/>
      <c r="P19" s="0"/>
    </row>
    <row r="20" customFormat="false" ht="12.75" hidden="false" customHeight="false" outlineLevel="0" collapsed="false">
      <c r="A20" s="0"/>
      <c r="B20" s="0"/>
      <c r="C20" s="0"/>
      <c r="D20" s="0"/>
      <c r="E20" s="0"/>
      <c r="F20" s="0"/>
      <c r="G20" s="22"/>
      <c r="H20" s="22"/>
      <c r="I20" s="0"/>
      <c r="N20" s="0"/>
      <c r="O20" s="0"/>
      <c r="P20" s="0"/>
    </row>
    <row r="21" customFormat="false" ht="12.75" hidden="false" customHeight="false" outlineLevel="0" collapsed="false">
      <c r="A21" s="0"/>
      <c r="B21" s="0"/>
      <c r="C21" s="0"/>
      <c r="D21" s="0"/>
      <c r="E21" s="0"/>
      <c r="F21" s="0"/>
      <c r="G21" s="22"/>
      <c r="H21" s="22"/>
      <c r="I21" s="0"/>
      <c r="N21" s="0"/>
      <c r="O21" s="0"/>
      <c r="P21" s="0"/>
    </row>
    <row r="22" customFormat="false" ht="12.75" hidden="false" customHeight="false" outlineLevel="0" collapsed="false">
      <c r="A22" s="0"/>
      <c r="B22" s="20" t="n">
        <v>1854</v>
      </c>
      <c r="C22" s="20" t="s">
        <v>18</v>
      </c>
      <c r="D22" s="20" t="s">
        <v>66</v>
      </c>
      <c r="E22" s="0"/>
      <c r="F22" s="0"/>
      <c r="G22" s="22"/>
      <c r="H22" s="22"/>
      <c r="I22" s="0"/>
      <c r="N22" s="0"/>
      <c r="O22" s="0"/>
      <c r="P22" s="0"/>
    </row>
    <row r="23" customFormat="false" ht="12.75" hidden="false" customHeight="false" outlineLevel="0" collapsed="false">
      <c r="A23" s="0"/>
      <c r="B23" s="0"/>
      <c r="C23" s="0"/>
      <c r="D23" s="0"/>
      <c r="E23" s="0"/>
      <c r="F23" s="0"/>
      <c r="G23" s="22"/>
      <c r="H23" s="22"/>
      <c r="I23" s="0"/>
      <c r="N23" s="0"/>
      <c r="O23" s="0"/>
      <c r="P23" s="0"/>
    </row>
    <row r="24" customFormat="false" ht="12.75" hidden="false" customHeight="false" outlineLevel="0" collapsed="false">
      <c r="A24" s="18" t="n">
        <v>1</v>
      </c>
      <c r="B24" s="18" t="n">
        <v>1</v>
      </c>
      <c r="C24" s="18" t="n">
        <v>26</v>
      </c>
      <c r="D24" s="18" t="n">
        <v>-92.5</v>
      </c>
      <c r="E24" s="18" t="n">
        <v>60</v>
      </c>
      <c r="F24" s="18" t="n">
        <f aca="false">E24*0.5144</f>
        <v>30.864</v>
      </c>
      <c r="G24" s="22"/>
      <c r="H24" s="22"/>
      <c r="I24" s="18" t="n">
        <v>0</v>
      </c>
      <c r="N24" s="0"/>
      <c r="O24" s="0"/>
      <c r="P24" s="0"/>
    </row>
    <row r="25" customFormat="false" ht="12.75" hidden="false" customHeight="false" outlineLevel="0" collapsed="false">
      <c r="A25" s="18" t="n">
        <f aca="false">A24+0.25</f>
        <v>1.25</v>
      </c>
      <c r="B25" s="18" t="n">
        <f aca="false">B24+0.25</f>
        <v>1.25</v>
      </c>
      <c r="C25" s="18" t="n">
        <v>26</v>
      </c>
      <c r="D25" s="18" t="n">
        <v>-93</v>
      </c>
      <c r="E25" s="18" t="n">
        <v>60</v>
      </c>
      <c r="F25" s="18" t="n">
        <f aca="false">E25*0.5144</f>
        <v>30.864</v>
      </c>
      <c r="G25" s="22" t="e">
        <f aca="false">arclethnm(C24,D24,C25,D25)/6</f>
        <v>#NAME?</v>
      </c>
      <c r="H25" s="22" t="e">
        <f aca="false">G25*0.5144</f>
        <v>#NAME?</v>
      </c>
      <c r="I25" s="18" t="n">
        <v>0</v>
      </c>
      <c r="N25" s="0"/>
      <c r="O25" s="0"/>
      <c r="P25" s="0"/>
    </row>
    <row r="26" customFormat="false" ht="12.75" hidden="false" customHeight="false" outlineLevel="0" collapsed="false">
      <c r="A26" s="18" t="n">
        <f aca="false">A25+0.25</f>
        <v>1.5</v>
      </c>
      <c r="B26" s="18" t="n">
        <f aca="false">B25+0.25</f>
        <v>1.5</v>
      </c>
      <c r="C26" s="18" t="n">
        <v>26</v>
      </c>
      <c r="D26" s="18" t="n">
        <v>-93.5</v>
      </c>
      <c r="E26" s="18" t="n">
        <v>70</v>
      </c>
      <c r="F26" s="18" t="n">
        <f aca="false">E26*0.5144</f>
        <v>36.008</v>
      </c>
      <c r="G26" s="22" t="e">
        <f aca="false">arclethnm(C25,D25,C26,D26)/6</f>
        <v>#NAME?</v>
      </c>
      <c r="H26" s="22" t="e">
        <f aca="false">G26*0.5144</f>
        <v>#NAME?</v>
      </c>
      <c r="I26" s="18" t="n">
        <v>0</v>
      </c>
      <c r="N26" s="0"/>
      <c r="O26" s="0"/>
      <c r="P26" s="0"/>
    </row>
    <row r="27" customFormat="false" ht="12.75" hidden="false" customHeight="false" outlineLevel="0" collapsed="false">
      <c r="A27" s="18" t="n">
        <f aca="false">A26+0.25</f>
        <v>1.75</v>
      </c>
      <c r="B27" s="18" t="n">
        <f aca="false">B26+0.25</f>
        <v>1.75</v>
      </c>
      <c r="C27" s="18" t="n">
        <v>26</v>
      </c>
      <c r="D27" s="18" t="n">
        <v>-94</v>
      </c>
      <c r="E27" s="18" t="n">
        <v>70</v>
      </c>
      <c r="F27" s="18" t="n">
        <f aca="false">E27*0.5144</f>
        <v>36.008</v>
      </c>
      <c r="G27" s="22" t="e">
        <f aca="false">arclethnm(C26,D26,C27,D27)/6</f>
        <v>#NAME?</v>
      </c>
      <c r="H27" s="22" t="e">
        <f aca="false">G27*0.5144</f>
        <v>#NAME?</v>
      </c>
      <c r="I27" s="18" t="n">
        <v>0</v>
      </c>
      <c r="N27" s="0"/>
      <c r="O27" s="0"/>
      <c r="P27" s="0"/>
    </row>
    <row r="28" customFormat="false" ht="12.75" hidden="false" customHeight="false" outlineLevel="0" collapsed="false">
      <c r="A28" s="18" t="n">
        <f aca="false">A27+0.25</f>
        <v>2</v>
      </c>
      <c r="B28" s="18" t="n">
        <f aca="false">B27+0.25</f>
        <v>2</v>
      </c>
      <c r="C28" s="18" t="n">
        <v>26</v>
      </c>
      <c r="D28" s="18" t="n">
        <v>-94.7</v>
      </c>
      <c r="E28" s="18" t="n">
        <v>70</v>
      </c>
      <c r="F28" s="18" t="n">
        <f aca="false">E28*0.5144</f>
        <v>36.008</v>
      </c>
      <c r="G28" s="22" t="e">
        <f aca="false">arclethnm(C27,D27,C28,D28)/6</f>
        <v>#NAME?</v>
      </c>
      <c r="H28" s="22" t="e">
        <f aca="false">G28*0.5144</f>
        <v>#NAME?</v>
      </c>
      <c r="I28" s="18" t="n">
        <v>0</v>
      </c>
      <c r="N28" s="20"/>
      <c r="O28" s="20"/>
      <c r="P28" s="20"/>
    </row>
    <row r="29" customFormat="false" ht="12.75" hidden="false" customHeight="false" outlineLevel="0" collapsed="false">
      <c r="A29" s="18" t="n">
        <f aca="false">A28+0.25</f>
        <v>2.25</v>
      </c>
      <c r="B29" s="18" t="n">
        <f aca="false">B28+0.25</f>
        <v>2.25</v>
      </c>
      <c r="C29" s="18" t="n">
        <v>26.1</v>
      </c>
      <c r="D29" s="18" t="n">
        <v>-95.7</v>
      </c>
      <c r="E29" s="18" t="n">
        <v>70</v>
      </c>
      <c r="F29" s="18" t="n">
        <f aca="false">E29*0.5144</f>
        <v>36.008</v>
      </c>
      <c r="G29" s="22" t="e">
        <f aca="false">arclethnm(C28,D28,C29,D29)/6</f>
        <v>#NAME?</v>
      </c>
      <c r="H29" s="22" t="e">
        <f aca="false">G29*0.5144</f>
        <v>#NAME?</v>
      </c>
      <c r="I29" s="18" t="n">
        <v>0</v>
      </c>
    </row>
    <row r="30" customFormat="false" ht="12.75" hidden="false" customHeight="false" outlineLevel="0" collapsed="false">
      <c r="A30" s="18" t="n">
        <f aca="false">A29+0.25</f>
        <v>2.5</v>
      </c>
      <c r="B30" s="18" t="n">
        <f aca="false">B29+0.25</f>
        <v>2.5</v>
      </c>
      <c r="C30" s="18" t="n">
        <v>26.2</v>
      </c>
      <c r="D30" s="18" t="n">
        <v>-97</v>
      </c>
      <c r="E30" s="18" t="n">
        <v>70</v>
      </c>
      <c r="F30" s="18" t="n">
        <f aca="false">E30*0.5144</f>
        <v>36.008</v>
      </c>
      <c r="G30" s="22" t="e">
        <f aca="false">arclethnm(C29,D29,C30,D30)/6</f>
        <v>#NAME?</v>
      </c>
      <c r="H30" s="22" t="e">
        <f aca="false">G30*0.5144</f>
        <v>#NAME?</v>
      </c>
      <c r="I30" s="18" t="n">
        <v>0</v>
      </c>
    </row>
    <row r="31" customFormat="false" ht="12.75" hidden="false" customHeight="false" outlineLevel="0" collapsed="false">
      <c r="A31" s="18" t="n">
        <f aca="false">A30+0.25</f>
        <v>2.75</v>
      </c>
      <c r="B31" s="18" t="n">
        <f aca="false">B30+0.25</f>
        <v>2.75</v>
      </c>
      <c r="C31" s="18" t="n">
        <v>26.4</v>
      </c>
      <c r="D31" s="18" t="n">
        <v>-98.5</v>
      </c>
      <c r="E31" s="18" t="n">
        <v>50</v>
      </c>
      <c r="F31" s="18" t="n">
        <f aca="false">E31*0.5144</f>
        <v>25.72</v>
      </c>
      <c r="G31" s="22" t="e">
        <f aca="false">arclethnm(C30,D30,C31,D31)/6</f>
        <v>#NAME?</v>
      </c>
      <c r="H31" s="22" t="e">
        <f aca="false">G31*0.5144</f>
        <v>#NAME?</v>
      </c>
      <c r="I31" s="18" t="n">
        <v>0</v>
      </c>
    </row>
    <row r="32" customFormat="false" ht="12.75" hidden="false" customHeight="false" outlineLevel="0" collapsed="false">
      <c r="A32" s="18" t="n">
        <f aca="false">A31+0.25</f>
        <v>3</v>
      </c>
      <c r="B32" s="18" t="n">
        <f aca="false">B31+0.25</f>
        <v>3</v>
      </c>
      <c r="C32" s="18" t="n">
        <v>26.8</v>
      </c>
      <c r="D32" s="18" t="n">
        <v>-100</v>
      </c>
      <c r="E32" s="18" t="n">
        <v>40</v>
      </c>
      <c r="F32" s="18" t="n">
        <f aca="false">E32*0.5144</f>
        <v>20.576</v>
      </c>
      <c r="G32" s="22" t="e">
        <f aca="false">arclethnm(C31,D31,C32,D32)/6</f>
        <v>#NAME?</v>
      </c>
      <c r="H32" s="22" t="e">
        <f aca="false">G32*0.5144</f>
        <v>#NAME?</v>
      </c>
      <c r="I32" s="18" t="n">
        <v>0</v>
      </c>
    </row>
    <row r="33" customFormat="false" ht="12.75" hidden="false" customHeight="false" outlineLevel="0" collapsed="false">
      <c r="A33" s="18" t="n">
        <f aca="false">A32+0.25</f>
        <v>3.25</v>
      </c>
      <c r="B33" s="18" t="n">
        <f aca="false">B32+0.25</f>
        <v>3.25</v>
      </c>
      <c r="C33" s="18" t="n">
        <v>27.4</v>
      </c>
      <c r="D33" s="18" t="n">
        <v>-101.5</v>
      </c>
      <c r="E33" s="18" t="n">
        <v>40</v>
      </c>
      <c r="F33" s="18" t="n">
        <f aca="false">E33*0.5144</f>
        <v>20.576</v>
      </c>
      <c r="G33" s="22" t="e">
        <f aca="false">arclethnm(C32,D32,C33,D33)/6</f>
        <v>#NAME?</v>
      </c>
      <c r="H33" s="22" t="e">
        <f aca="false">G33*0.5144</f>
        <v>#NAME?</v>
      </c>
      <c r="I33" s="18" t="n">
        <v>0</v>
      </c>
    </row>
    <row r="34" customFormat="false" ht="12.75" hidden="false" customHeight="false" outlineLevel="0" collapsed="false">
      <c r="A34" s="18" t="n">
        <f aca="false">A33+0.25</f>
        <v>3.5</v>
      </c>
      <c r="B34" s="18" t="n">
        <f aca="false">B33+0.25</f>
        <v>3.5</v>
      </c>
      <c r="C34" s="18" t="n">
        <v>28</v>
      </c>
      <c r="D34" s="18" t="n">
        <v>-103</v>
      </c>
      <c r="E34" s="18" t="n">
        <v>40</v>
      </c>
      <c r="F34" s="18" t="n">
        <f aca="false">E34*0.5144</f>
        <v>20.576</v>
      </c>
      <c r="G34" s="22" t="e">
        <f aca="false">arclethnm(C33,D33,C34,D34)/6</f>
        <v>#NAME?</v>
      </c>
      <c r="H34" s="22" t="e">
        <f aca="false">G34*0.5144</f>
        <v>#NAME?</v>
      </c>
      <c r="I34" s="18" t="n">
        <v>0</v>
      </c>
    </row>
    <row r="35" customFormat="false" ht="12.75" hidden="false" customHeight="false" outlineLevel="0" collapsed="false">
      <c r="A35" s="0"/>
      <c r="B35" s="0"/>
      <c r="C35" s="0"/>
      <c r="D35" s="0"/>
      <c r="E35" s="0"/>
      <c r="F35" s="0"/>
      <c r="G35" s="22"/>
      <c r="H35" s="22"/>
      <c r="I35" s="0"/>
    </row>
    <row r="36" customFormat="false" ht="12.75" hidden="false" customHeight="false" outlineLevel="0" collapsed="false">
      <c r="A36" s="0"/>
      <c r="B36" s="0"/>
      <c r="C36" s="0"/>
      <c r="D36" s="0"/>
      <c r="E36" s="0"/>
      <c r="F36" s="0"/>
      <c r="G36" s="22"/>
      <c r="H36" s="22"/>
      <c r="I36" s="0"/>
    </row>
    <row r="37" customFormat="false" ht="12.75" hidden="false" customHeight="false" outlineLevel="0" collapsed="false">
      <c r="A37" s="0"/>
      <c r="B37" s="0"/>
      <c r="C37" s="0"/>
      <c r="D37" s="0"/>
      <c r="E37" s="0"/>
      <c r="F37" s="0"/>
      <c r="G37" s="22"/>
      <c r="H37" s="22"/>
      <c r="I37" s="0"/>
    </row>
    <row r="38" customFormat="false" ht="12.75" hidden="false" customHeight="false" outlineLevel="0" collapsed="false">
      <c r="A38" s="0"/>
      <c r="B38" s="0"/>
      <c r="C38" s="0"/>
      <c r="D38" s="0"/>
      <c r="E38" s="0"/>
      <c r="F38" s="0"/>
      <c r="G38" s="22"/>
      <c r="H38" s="22"/>
      <c r="I38" s="0"/>
    </row>
    <row r="39" customFormat="false" ht="12.75" hidden="false" customHeight="false" outlineLevel="0" collapsed="false">
      <c r="A39" s="0"/>
      <c r="B39" s="20" t="n">
        <v>1854</v>
      </c>
      <c r="C39" s="20" t="s">
        <v>18</v>
      </c>
      <c r="D39" s="20" t="s">
        <v>67</v>
      </c>
      <c r="E39" s="0"/>
      <c r="F39" s="0"/>
      <c r="G39" s="22"/>
      <c r="H39" s="22"/>
      <c r="I39" s="0"/>
    </row>
    <row r="40" customFormat="false" ht="12.75" hidden="false" customHeight="false" outlineLevel="0" collapsed="false">
      <c r="A40" s="0"/>
      <c r="B40" s="0"/>
      <c r="C40" s="0"/>
      <c r="D40" s="0"/>
      <c r="E40" s="0"/>
      <c r="F40" s="0"/>
      <c r="G40" s="22"/>
      <c r="H40" s="22"/>
      <c r="I40" s="0"/>
    </row>
    <row r="41" customFormat="false" ht="12.75" hidden="false" customHeight="false" outlineLevel="0" collapsed="false">
      <c r="A41" s="18" t="n">
        <v>1</v>
      </c>
      <c r="B41" s="18" t="n">
        <v>1</v>
      </c>
      <c r="C41" s="18" t="n">
        <v>28.2</v>
      </c>
      <c r="D41" s="18" t="n">
        <v>-93.6</v>
      </c>
      <c r="E41" s="18" t="n">
        <v>90</v>
      </c>
      <c r="F41" s="18" t="n">
        <f aca="false">E41*0.5144</f>
        <v>46.296</v>
      </c>
      <c r="G41" s="22"/>
      <c r="H41" s="22"/>
      <c r="I41" s="18" t="n">
        <v>0</v>
      </c>
    </row>
    <row r="42" customFormat="false" ht="12.75" hidden="false" customHeight="false" outlineLevel="0" collapsed="false">
      <c r="A42" s="18" t="n">
        <f aca="false">A41+0.25</f>
        <v>1.25</v>
      </c>
      <c r="B42" s="18" t="n">
        <f aca="false">B41+0.25</f>
        <v>1.25</v>
      </c>
      <c r="C42" s="18" t="n">
        <v>28.4</v>
      </c>
      <c r="D42" s="18" t="n">
        <v>-94.1</v>
      </c>
      <c r="E42" s="18" t="n">
        <v>90</v>
      </c>
      <c r="F42" s="18" t="n">
        <f aca="false">E42*0.5144</f>
        <v>46.296</v>
      </c>
      <c r="G42" s="22" t="e">
        <f aca="false">arclethnm(C41,D41,C42,D42)/6</f>
        <v>#NAME?</v>
      </c>
      <c r="H42" s="22" t="e">
        <f aca="false">G42*0.5144</f>
        <v>#NAME?</v>
      </c>
      <c r="I42" s="18" t="n">
        <v>0</v>
      </c>
    </row>
    <row r="43" customFormat="false" ht="12.75" hidden="false" customHeight="false" outlineLevel="0" collapsed="false">
      <c r="A43" s="18" t="n">
        <f aca="false">A42+0.25</f>
        <v>1.5</v>
      </c>
      <c r="B43" s="18" t="n">
        <f aca="false">B42+0.25</f>
        <v>1.5</v>
      </c>
      <c r="C43" s="18" t="n">
        <v>28.6</v>
      </c>
      <c r="D43" s="18" t="n">
        <v>-94.6</v>
      </c>
      <c r="E43" s="18" t="n">
        <v>90</v>
      </c>
      <c r="F43" s="18" t="n">
        <f aca="false">E43*0.5144</f>
        <v>46.296</v>
      </c>
      <c r="G43" s="22" t="e">
        <f aca="false">arclethnm(C42,D42,C43,D43)/6</f>
        <v>#NAME?</v>
      </c>
      <c r="H43" s="22" t="e">
        <f aca="false">G43*0.5144</f>
        <v>#NAME?</v>
      </c>
      <c r="I43" s="18" t="n">
        <v>0</v>
      </c>
    </row>
    <row r="44" customFormat="false" ht="12.75" hidden="false" customHeight="false" outlineLevel="0" collapsed="false">
      <c r="A44" s="18" t="n">
        <f aca="false">A43+0.25</f>
        <v>1.75</v>
      </c>
      <c r="B44" s="18" t="n">
        <f aca="false">B43+0.25</f>
        <v>1.75</v>
      </c>
      <c r="C44" s="18" t="n">
        <v>28.8</v>
      </c>
      <c r="D44" s="18" t="n">
        <v>-95.1</v>
      </c>
      <c r="E44" s="18" t="n">
        <v>90</v>
      </c>
      <c r="F44" s="18" t="n">
        <f aca="false">E44*0.5144</f>
        <v>46.296</v>
      </c>
      <c r="G44" s="22" t="e">
        <f aca="false">arclethnm(C43,D43,C44,D44)/6</f>
        <v>#NAME?</v>
      </c>
      <c r="H44" s="22" t="e">
        <f aca="false">G44*0.5144</f>
        <v>#NAME?</v>
      </c>
      <c r="I44" s="18" t="n">
        <v>0</v>
      </c>
    </row>
    <row r="45" customFormat="false" ht="12.75" hidden="false" customHeight="false" outlineLevel="0" collapsed="false">
      <c r="A45" s="18" t="n">
        <f aca="false">A44+0.25</f>
        <v>2</v>
      </c>
      <c r="B45" s="18" t="n">
        <f aca="false">B44+0.25</f>
        <v>2</v>
      </c>
      <c r="C45" s="18" t="n">
        <v>28.9</v>
      </c>
      <c r="D45" s="18" t="n">
        <v>-95.3</v>
      </c>
      <c r="E45" s="18" t="n">
        <v>90</v>
      </c>
      <c r="F45" s="18" t="n">
        <f aca="false">E45*0.5144</f>
        <v>46.296</v>
      </c>
      <c r="G45" s="22" t="e">
        <f aca="false">arclethnm(C44,D44,C45,D45)/6</f>
        <v>#NAME?</v>
      </c>
      <c r="H45" s="22" t="e">
        <f aca="false">G45*0.5144</f>
        <v>#NAME?</v>
      </c>
      <c r="I45" s="18" t="n">
        <v>0</v>
      </c>
    </row>
    <row r="46" customFormat="false" ht="12.75" hidden="false" customHeight="false" outlineLevel="0" collapsed="false">
      <c r="A46" s="18" t="n">
        <f aca="false">A45+0.25</f>
        <v>2.25</v>
      </c>
      <c r="B46" s="18" t="n">
        <f aca="false">B45+0.25</f>
        <v>2.25</v>
      </c>
      <c r="C46" s="18" t="n">
        <v>29</v>
      </c>
      <c r="D46" s="18" t="n">
        <v>-95.6</v>
      </c>
      <c r="E46" s="18" t="n">
        <v>80</v>
      </c>
      <c r="F46" s="18" t="n">
        <f aca="false">E46*0.5144</f>
        <v>41.152</v>
      </c>
      <c r="G46" s="22" t="e">
        <f aca="false">arclethnm(C45,D45,C46,D46)/6</f>
        <v>#NAME?</v>
      </c>
      <c r="H46" s="22" t="e">
        <f aca="false">G46*0.5144</f>
        <v>#NAME?</v>
      </c>
      <c r="I46" s="18" t="n">
        <v>0</v>
      </c>
    </row>
    <row r="47" customFormat="false" ht="12.75" hidden="false" customHeight="false" outlineLevel="0" collapsed="false">
      <c r="A47" s="18" t="n">
        <f aca="false">A46+0.25</f>
        <v>2.5</v>
      </c>
      <c r="B47" s="18" t="n">
        <f aca="false">B46+0.25</f>
        <v>2.5</v>
      </c>
      <c r="C47" s="18" t="n">
        <v>29.2</v>
      </c>
      <c r="D47" s="18" t="n">
        <v>-96.1</v>
      </c>
      <c r="E47" s="18" t="n">
        <v>70</v>
      </c>
      <c r="F47" s="18" t="n">
        <f aca="false">E47*0.5144</f>
        <v>36.008</v>
      </c>
      <c r="G47" s="22" t="e">
        <f aca="false">arclethnm(C46,D46,C47,D47)/6</f>
        <v>#NAME?</v>
      </c>
      <c r="H47" s="22" t="e">
        <f aca="false">G47*0.5144</f>
        <v>#NAME?</v>
      </c>
      <c r="I47" s="18" t="n">
        <v>0</v>
      </c>
    </row>
    <row r="48" customFormat="false" ht="12.75" hidden="false" customHeight="false" outlineLevel="0" collapsed="false">
      <c r="A48" s="18" t="n">
        <f aca="false">A47+0.25</f>
        <v>2.75</v>
      </c>
      <c r="B48" s="18" t="n">
        <f aca="false">B47+0.25</f>
        <v>2.75</v>
      </c>
      <c r="C48" s="18" t="n">
        <v>29.4</v>
      </c>
      <c r="D48" s="18" t="n">
        <v>-96.5</v>
      </c>
      <c r="E48" s="18" t="n">
        <v>60</v>
      </c>
      <c r="F48" s="18" t="n">
        <f aca="false">E48*0.5144</f>
        <v>30.864</v>
      </c>
      <c r="G48" s="22" t="e">
        <f aca="false">arclethnm(C47,D47,C48,D48)/6</f>
        <v>#NAME?</v>
      </c>
      <c r="H48" s="22" t="e">
        <f aca="false">G48*0.5144</f>
        <v>#NAME?</v>
      </c>
      <c r="I48" s="18" t="n">
        <v>0</v>
      </c>
    </row>
    <row r="49" customFormat="false" ht="12.75" hidden="false" customHeight="false" outlineLevel="0" collapsed="false">
      <c r="A49" s="18" t="n">
        <f aca="false">A48+0.25</f>
        <v>3</v>
      </c>
      <c r="B49" s="18" t="n">
        <f aca="false">B48+0.25</f>
        <v>3</v>
      </c>
      <c r="C49" s="18" t="n">
        <v>29.7</v>
      </c>
      <c r="D49" s="18" t="n">
        <v>-96.6</v>
      </c>
      <c r="E49" s="18" t="n">
        <v>60</v>
      </c>
      <c r="F49" s="18" t="n">
        <f aca="false">E49*0.5144</f>
        <v>30.864</v>
      </c>
      <c r="G49" s="22" t="e">
        <f aca="false">arclethnm(C48,D48,C49,D49)/6</f>
        <v>#NAME?</v>
      </c>
      <c r="H49" s="22" t="e">
        <f aca="false">G49*0.5144</f>
        <v>#NAME?</v>
      </c>
      <c r="I49" s="18" t="n">
        <v>0</v>
      </c>
    </row>
    <row r="50" customFormat="false" ht="12.75" hidden="false" customHeight="false" outlineLevel="0" collapsed="false">
      <c r="A50" s="18" t="n">
        <f aca="false">A49+0.25</f>
        <v>3.25</v>
      </c>
      <c r="B50" s="18" t="n">
        <f aca="false">B49+0.25</f>
        <v>3.25</v>
      </c>
      <c r="C50" s="18" t="n">
        <v>30</v>
      </c>
      <c r="D50" s="18" t="n">
        <v>-96.4</v>
      </c>
      <c r="E50" s="18" t="n">
        <v>50</v>
      </c>
      <c r="F50" s="18" t="n">
        <f aca="false">E50*0.5144</f>
        <v>25.72</v>
      </c>
      <c r="G50" s="22" t="e">
        <f aca="false">arclethnm(C49,D49,C50,D50)/6</f>
        <v>#NAME?</v>
      </c>
      <c r="H50" s="22" t="e">
        <f aca="false">G50*0.5144</f>
        <v>#NAME?</v>
      </c>
      <c r="I50" s="18" t="n">
        <v>0</v>
      </c>
    </row>
    <row r="51" customFormat="false" ht="12.75" hidden="false" customHeight="false" outlineLevel="0" collapsed="false">
      <c r="A51" s="18" t="n">
        <f aca="false">A50+0.25</f>
        <v>3.5</v>
      </c>
      <c r="B51" s="18" t="n">
        <f aca="false">B50+0.25</f>
        <v>3.5</v>
      </c>
      <c r="C51" s="18" t="n">
        <v>30.3</v>
      </c>
      <c r="D51" s="18" t="n">
        <v>-96</v>
      </c>
      <c r="E51" s="18" t="n">
        <v>40</v>
      </c>
      <c r="F51" s="18" t="n">
        <f aca="false">E51*0.5144</f>
        <v>20.576</v>
      </c>
      <c r="G51" s="22" t="e">
        <f aca="false">arclethnm(C50,D50,C51,D51)/6</f>
        <v>#NAME?</v>
      </c>
      <c r="H51" s="22" t="e">
        <f aca="false">G51*0.5144</f>
        <v>#NAME?</v>
      </c>
      <c r="I51" s="18" t="n">
        <v>0</v>
      </c>
    </row>
    <row r="52" customFormat="false" ht="12.75" hidden="false" customHeight="false" outlineLevel="0" collapsed="false">
      <c r="A52" s="0"/>
      <c r="B52" s="0"/>
      <c r="C52" s="0"/>
      <c r="D52" s="0"/>
      <c r="E52" s="0"/>
      <c r="F52" s="0"/>
      <c r="G52" s="22"/>
      <c r="H52" s="22"/>
      <c r="I52" s="0"/>
    </row>
    <row r="53" customFormat="false" ht="12.75" hidden="false" customHeight="false" outlineLevel="0" collapsed="false">
      <c r="A53" s="0"/>
      <c r="B53" s="0"/>
      <c r="C53" s="0"/>
      <c r="D53" s="0"/>
      <c r="E53" s="0"/>
      <c r="F53" s="0"/>
      <c r="G53" s="22"/>
      <c r="H53" s="22"/>
      <c r="I53" s="0"/>
    </row>
    <row r="54" customFormat="false" ht="12.75" hidden="false" customHeight="false" outlineLevel="0" collapsed="false">
      <c r="A54" s="0"/>
      <c r="B54" s="0"/>
      <c r="C54" s="0"/>
      <c r="D54" s="0"/>
      <c r="E54" s="0"/>
      <c r="F54" s="0"/>
      <c r="G54" s="22"/>
      <c r="H54" s="22"/>
      <c r="I54" s="0"/>
    </row>
    <row r="55" customFormat="false" ht="12.75" hidden="false" customHeight="false" outlineLevel="0" collapsed="false">
      <c r="A55" s="0"/>
      <c r="B55" s="20" t="n">
        <v>1866</v>
      </c>
      <c r="C55" s="20" t="s">
        <v>18</v>
      </c>
      <c r="D55" s="20" t="s">
        <v>135</v>
      </c>
      <c r="E55" s="0"/>
      <c r="F55" s="0"/>
      <c r="G55" s="22"/>
      <c r="H55" s="22"/>
      <c r="I55" s="0"/>
    </row>
    <row r="56" customFormat="false" ht="12.75" hidden="false" customHeight="false" outlineLevel="0" collapsed="false">
      <c r="A56" s="0"/>
      <c r="B56" s="0"/>
      <c r="C56" s="0"/>
      <c r="D56" s="0"/>
      <c r="E56" s="0"/>
      <c r="F56" s="0"/>
      <c r="G56" s="22"/>
      <c r="H56" s="22"/>
      <c r="I56" s="0"/>
    </row>
    <row r="57" customFormat="false" ht="12.75" hidden="false" customHeight="false" outlineLevel="0" collapsed="false">
      <c r="A57" s="18" t="n">
        <f aca="false">B57-0.5</f>
        <v>1</v>
      </c>
      <c r="B57" s="18" t="n">
        <v>1.5</v>
      </c>
      <c r="C57" s="18" t="n">
        <v>28</v>
      </c>
      <c r="D57" s="18" t="n">
        <v>-87.3</v>
      </c>
      <c r="E57" s="18" t="n">
        <v>90</v>
      </c>
      <c r="F57" s="18" t="n">
        <f aca="false">E57*0.5144</f>
        <v>46.296</v>
      </c>
      <c r="G57" s="22"/>
      <c r="H57" s="22"/>
      <c r="I57" s="18" t="n">
        <v>0</v>
      </c>
    </row>
    <row r="58" customFormat="false" ht="12.75" hidden="false" customHeight="false" outlineLevel="0" collapsed="false">
      <c r="A58" s="18" t="n">
        <f aca="false">B58-0.5</f>
        <v>1.25</v>
      </c>
      <c r="B58" s="18" t="n">
        <f aca="false">B57+0.25</f>
        <v>1.75</v>
      </c>
      <c r="C58" s="18" t="n">
        <v>28</v>
      </c>
      <c r="D58" s="18" t="n">
        <v>-87.8</v>
      </c>
      <c r="E58" s="18" t="n">
        <v>90</v>
      </c>
      <c r="F58" s="18" t="n">
        <f aca="false">E58*0.5144</f>
        <v>46.296</v>
      </c>
      <c r="G58" s="22" t="e">
        <f aca="false">arclethnm(C57,D57,C58,D58)/6</f>
        <v>#NAME?</v>
      </c>
      <c r="H58" s="22" t="e">
        <f aca="false">G58*0.5144</f>
        <v>#NAME?</v>
      </c>
      <c r="I58" s="18" t="n">
        <v>0</v>
      </c>
    </row>
    <row r="59" customFormat="false" ht="12.75" hidden="false" customHeight="false" outlineLevel="0" collapsed="false">
      <c r="A59" s="18" t="n">
        <f aca="false">B59-0.5</f>
        <v>1.5</v>
      </c>
      <c r="B59" s="18" t="n">
        <f aca="false">B58+0.25</f>
        <v>2</v>
      </c>
      <c r="C59" s="18" t="n">
        <v>28</v>
      </c>
      <c r="D59" s="18" t="n">
        <v>-88.3</v>
      </c>
      <c r="E59" s="18" t="n">
        <v>90</v>
      </c>
      <c r="F59" s="18" t="n">
        <f aca="false">E59*0.5144</f>
        <v>46.296</v>
      </c>
      <c r="G59" s="22" t="e">
        <f aca="false">arclethnm(C58,D58,C59,D59)/6</f>
        <v>#NAME?</v>
      </c>
      <c r="H59" s="22" t="e">
        <f aca="false">G59*0.5144</f>
        <v>#NAME?</v>
      </c>
      <c r="I59" s="18" t="n">
        <v>0</v>
      </c>
    </row>
    <row r="60" customFormat="false" ht="12.75" hidden="false" customHeight="false" outlineLevel="0" collapsed="false">
      <c r="A60" s="18" t="n">
        <f aca="false">B60-0.5</f>
        <v>1.75</v>
      </c>
      <c r="B60" s="18" t="n">
        <f aca="false">B59+0.25</f>
        <v>2.25</v>
      </c>
      <c r="C60" s="18" t="n">
        <v>28</v>
      </c>
      <c r="D60" s="18" t="n">
        <v>-88.8</v>
      </c>
      <c r="E60" s="18" t="n">
        <v>90</v>
      </c>
      <c r="F60" s="18" t="n">
        <f aca="false">E60*0.5144</f>
        <v>46.296</v>
      </c>
      <c r="G60" s="22" t="e">
        <f aca="false">arclethnm(C59,D59,C60,D60)/6</f>
        <v>#NAME?</v>
      </c>
      <c r="H60" s="22" t="e">
        <f aca="false">G60*0.5144</f>
        <v>#NAME?</v>
      </c>
      <c r="I60" s="18" t="n">
        <v>0</v>
      </c>
    </row>
    <row r="61" customFormat="false" ht="12.75" hidden="false" customHeight="false" outlineLevel="0" collapsed="false">
      <c r="A61" s="18" t="n">
        <f aca="false">B61-0.5</f>
        <v>2</v>
      </c>
      <c r="B61" s="18" t="n">
        <f aca="false">B60+0.25</f>
        <v>2.5</v>
      </c>
      <c r="C61" s="18" t="n">
        <v>28.1</v>
      </c>
      <c r="D61" s="18" t="n">
        <v>-89.3</v>
      </c>
      <c r="E61" s="18" t="n">
        <v>90</v>
      </c>
      <c r="F61" s="18" t="n">
        <f aca="false">E61*0.5144</f>
        <v>46.296</v>
      </c>
      <c r="G61" s="22" t="e">
        <f aca="false">arclethnm(C60,D60,C61,D61)/6</f>
        <v>#NAME?</v>
      </c>
      <c r="H61" s="22" t="e">
        <f aca="false">G61*0.5144</f>
        <v>#NAME?</v>
      </c>
      <c r="I61" s="18" t="n">
        <v>0</v>
      </c>
    </row>
    <row r="62" customFormat="false" ht="12.75" hidden="false" customHeight="false" outlineLevel="0" collapsed="false">
      <c r="A62" s="18" t="n">
        <f aca="false">B62-0.5</f>
        <v>2.25</v>
      </c>
      <c r="B62" s="18" t="n">
        <f aca="false">B61+0.25</f>
        <v>2.75</v>
      </c>
      <c r="C62" s="18" t="n">
        <v>28.1</v>
      </c>
      <c r="D62" s="18" t="n">
        <v>-89.9</v>
      </c>
      <c r="E62" s="18" t="n">
        <v>90</v>
      </c>
      <c r="F62" s="18" t="n">
        <f aca="false">E62*0.5144</f>
        <v>46.296</v>
      </c>
      <c r="G62" s="22" t="e">
        <f aca="false">arclethnm(C61,D61,C62,D62)/6</f>
        <v>#NAME?</v>
      </c>
      <c r="H62" s="22" t="e">
        <f aca="false">G62*0.5144</f>
        <v>#NAME?</v>
      </c>
      <c r="I62" s="18" t="n">
        <v>0</v>
      </c>
    </row>
    <row r="63" customFormat="false" ht="12.75" hidden="false" customHeight="false" outlineLevel="0" collapsed="false">
      <c r="A63" s="18" t="n">
        <f aca="false">B63-0.5</f>
        <v>2.5</v>
      </c>
      <c r="B63" s="18" t="n">
        <f aca="false">B62+0.25</f>
        <v>3</v>
      </c>
      <c r="C63" s="18" t="n">
        <v>28.1</v>
      </c>
      <c r="D63" s="18" t="n">
        <v>-90.5</v>
      </c>
      <c r="E63" s="18" t="n">
        <v>90</v>
      </c>
      <c r="F63" s="18" t="n">
        <f aca="false">E63*0.5144</f>
        <v>46.296</v>
      </c>
      <c r="G63" s="22" t="e">
        <f aca="false">arclethnm(C62,D62,C63,D63)/6</f>
        <v>#NAME?</v>
      </c>
      <c r="H63" s="22" t="e">
        <f aca="false">G63*0.5144</f>
        <v>#NAME?</v>
      </c>
      <c r="I63" s="18" t="n">
        <v>0</v>
      </c>
    </row>
    <row r="64" customFormat="false" ht="12.75" hidden="false" customHeight="false" outlineLevel="0" collapsed="false">
      <c r="A64" s="18" t="n">
        <f aca="false">B64-0.5</f>
        <v>2.75</v>
      </c>
      <c r="B64" s="18" t="n">
        <f aca="false">B63+0.25</f>
        <v>3.25</v>
      </c>
      <c r="C64" s="18" t="n">
        <v>28.1</v>
      </c>
      <c r="D64" s="18" t="n">
        <v>-91.1</v>
      </c>
      <c r="E64" s="18" t="n">
        <v>90</v>
      </c>
      <c r="F64" s="18" t="n">
        <f aca="false">E64*0.5144</f>
        <v>46.296</v>
      </c>
      <c r="G64" s="22" t="e">
        <f aca="false">arclethnm(C63,D63,C64,D64)/6</f>
        <v>#NAME?</v>
      </c>
      <c r="H64" s="22" t="e">
        <f aca="false">G64*0.5144</f>
        <v>#NAME?</v>
      </c>
      <c r="I64" s="18" t="n">
        <v>0</v>
      </c>
    </row>
    <row r="65" customFormat="false" ht="12.75" hidden="false" customHeight="false" outlineLevel="0" collapsed="false">
      <c r="A65" s="18" t="n">
        <f aca="false">B65-0.5</f>
        <v>3</v>
      </c>
      <c r="B65" s="18" t="n">
        <f aca="false">B64+0.25</f>
        <v>3.5</v>
      </c>
      <c r="C65" s="18" t="n">
        <v>28.2</v>
      </c>
      <c r="D65" s="18" t="n">
        <v>-91.7</v>
      </c>
      <c r="E65" s="18" t="n">
        <v>90</v>
      </c>
      <c r="F65" s="18" t="n">
        <f aca="false">E65*0.5144</f>
        <v>46.296</v>
      </c>
      <c r="G65" s="22" t="e">
        <f aca="false">arclethnm(C64,D64,C65,D65)/6</f>
        <v>#NAME?</v>
      </c>
      <c r="H65" s="22" t="e">
        <f aca="false">G65*0.5144</f>
        <v>#NAME?</v>
      </c>
      <c r="I65" s="18" t="n">
        <v>0</v>
      </c>
    </row>
    <row r="66" customFormat="false" ht="12.75" hidden="false" customHeight="false" outlineLevel="0" collapsed="false">
      <c r="A66" s="18" t="n">
        <f aca="false">B66-0.5</f>
        <v>3.25</v>
      </c>
      <c r="B66" s="18" t="n">
        <f aca="false">B65+0.25</f>
        <v>3.75</v>
      </c>
      <c r="C66" s="18" t="n">
        <v>28.2</v>
      </c>
      <c r="D66" s="18" t="n">
        <v>-92.3</v>
      </c>
      <c r="E66" s="18" t="n">
        <v>90</v>
      </c>
      <c r="F66" s="18" t="n">
        <f aca="false">E66*0.5144</f>
        <v>46.296</v>
      </c>
      <c r="G66" s="22" t="e">
        <f aca="false">arclethnm(C65,D65,C66,D66)/6</f>
        <v>#NAME?</v>
      </c>
      <c r="H66" s="22" t="e">
        <f aca="false">G66*0.5144</f>
        <v>#NAME?</v>
      </c>
      <c r="I66" s="18" t="n">
        <v>0</v>
      </c>
    </row>
    <row r="67" customFormat="false" ht="12.75" hidden="false" customHeight="false" outlineLevel="0" collapsed="false">
      <c r="A67" s="18" t="n">
        <f aca="false">B67-0.5</f>
        <v>3.5</v>
      </c>
      <c r="B67" s="18" t="n">
        <f aca="false">B66+0.25</f>
        <v>4</v>
      </c>
      <c r="C67" s="18" t="n">
        <v>28.2</v>
      </c>
      <c r="D67" s="18" t="n">
        <v>-92.9</v>
      </c>
      <c r="E67" s="18" t="n">
        <v>90</v>
      </c>
      <c r="F67" s="18" t="n">
        <f aca="false">E67*0.5144</f>
        <v>46.296</v>
      </c>
      <c r="G67" s="22" t="e">
        <f aca="false">arclethnm(C66,D66,C67,D67)/6</f>
        <v>#NAME?</v>
      </c>
      <c r="H67" s="22" t="e">
        <f aca="false">G67*0.5144</f>
        <v>#NAME?</v>
      </c>
      <c r="I67" s="18" t="n">
        <v>0</v>
      </c>
    </row>
    <row r="68" customFormat="false" ht="12.75" hidden="false" customHeight="false" outlineLevel="0" collapsed="false">
      <c r="A68" s="18" t="n">
        <f aca="false">B68-0.5</f>
        <v>3.75</v>
      </c>
      <c r="B68" s="18" t="n">
        <f aca="false">B67+0.25</f>
        <v>4.25</v>
      </c>
      <c r="C68" s="18" t="n">
        <v>28.2</v>
      </c>
      <c r="D68" s="18" t="n">
        <v>-93.5</v>
      </c>
      <c r="E68" s="18" t="n">
        <v>90</v>
      </c>
      <c r="F68" s="18" t="n">
        <f aca="false">E68*0.5144</f>
        <v>46.296</v>
      </c>
      <c r="G68" s="22" t="e">
        <f aca="false">arclethnm(C67,D67,C68,D68)/6</f>
        <v>#NAME?</v>
      </c>
      <c r="H68" s="22" t="e">
        <f aca="false">G68*0.5144</f>
        <v>#NAME?</v>
      </c>
      <c r="I68" s="18" t="n">
        <v>0</v>
      </c>
    </row>
    <row r="69" customFormat="false" ht="12.75" hidden="false" customHeight="false" outlineLevel="0" collapsed="false">
      <c r="A69" s="18" t="n">
        <f aca="false">B69-0.5</f>
        <v>4</v>
      </c>
      <c r="B69" s="18" t="n">
        <f aca="false">B68+0.25</f>
        <v>4.5</v>
      </c>
      <c r="C69" s="18" t="n">
        <v>28.3</v>
      </c>
      <c r="D69" s="18" t="n">
        <v>-94.1</v>
      </c>
      <c r="E69" s="18" t="n">
        <v>90</v>
      </c>
      <c r="F69" s="18" t="n">
        <f aca="false">E69*0.5144</f>
        <v>46.296</v>
      </c>
      <c r="G69" s="22" t="e">
        <f aca="false">arclethnm(C68,D68,C69,D69)/6</f>
        <v>#NAME?</v>
      </c>
      <c r="H69" s="22" t="e">
        <f aca="false">G69*0.5144</f>
        <v>#NAME?</v>
      </c>
      <c r="I69" s="18" t="n">
        <v>0</v>
      </c>
    </row>
    <row r="70" customFormat="false" ht="12.75" hidden="false" customHeight="false" outlineLevel="0" collapsed="false">
      <c r="A70" s="18" t="n">
        <f aca="false">B70-0.5</f>
        <v>4.25</v>
      </c>
      <c r="B70" s="18" t="n">
        <f aca="false">B69+0.25</f>
        <v>4.75</v>
      </c>
      <c r="C70" s="18" t="n">
        <v>28.3</v>
      </c>
      <c r="D70" s="18" t="n">
        <v>-94.7</v>
      </c>
      <c r="E70" s="18" t="n">
        <v>90</v>
      </c>
      <c r="F70" s="18" t="n">
        <f aca="false">E70*0.5144</f>
        <v>46.296</v>
      </c>
      <c r="G70" s="22" t="e">
        <f aca="false">arclethnm(C69,D69,C70,D70)/6</f>
        <v>#NAME?</v>
      </c>
      <c r="H70" s="22" t="e">
        <f aca="false">G70*0.5144</f>
        <v>#NAME?</v>
      </c>
      <c r="I70" s="18" t="n">
        <v>0</v>
      </c>
    </row>
    <row r="71" customFormat="false" ht="12.75" hidden="false" customHeight="false" outlineLevel="0" collapsed="false">
      <c r="A71" s="18" t="n">
        <f aca="false">B71-0.5</f>
        <v>4.5</v>
      </c>
      <c r="B71" s="18" t="n">
        <f aca="false">B70+0.25</f>
        <v>5</v>
      </c>
      <c r="C71" s="18" t="n">
        <v>28.4</v>
      </c>
      <c r="D71" s="18" t="n">
        <v>-95.3</v>
      </c>
      <c r="E71" s="18" t="n">
        <v>90</v>
      </c>
      <c r="F71" s="18" t="n">
        <f aca="false">E71*0.5144</f>
        <v>46.296</v>
      </c>
      <c r="G71" s="22" t="e">
        <f aca="false">arclethnm(C70,D70,C71,D71)/6</f>
        <v>#NAME?</v>
      </c>
      <c r="H71" s="22" t="e">
        <f aca="false">G71*0.5144</f>
        <v>#NAME?</v>
      </c>
      <c r="I71" s="18" t="n">
        <v>0</v>
      </c>
    </row>
    <row r="72" customFormat="false" ht="12.75" hidden="false" customHeight="false" outlineLevel="0" collapsed="false">
      <c r="A72" s="18" t="n">
        <f aca="false">B72-0.5</f>
        <v>4.75</v>
      </c>
      <c r="B72" s="18" t="n">
        <f aca="false">B71+0.25</f>
        <v>5.25</v>
      </c>
      <c r="C72" s="18" t="n">
        <v>28.5</v>
      </c>
      <c r="D72" s="18" t="n">
        <v>-95.9</v>
      </c>
      <c r="E72" s="18" t="n">
        <v>90</v>
      </c>
      <c r="F72" s="18" t="n">
        <f aca="false">E72*0.5144</f>
        <v>46.296</v>
      </c>
      <c r="G72" s="22" t="e">
        <f aca="false">arclethnm(C71,D71,C72,D72)/6</f>
        <v>#NAME?</v>
      </c>
      <c r="H72" s="22" t="e">
        <f aca="false">G72*0.5144</f>
        <v>#NAME?</v>
      </c>
      <c r="I72" s="18" t="n">
        <v>0</v>
      </c>
    </row>
    <row r="73" customFormat="false" ht="12.75" hidden="false" customHeight="false" outlineLevel="0" collapsed="false">
      <c r="A73" s="18" t="n">
        <f aca="false">B73-0.5</f>
        <v>5</v>
      </c>
      <c r="B73" s="18" t="n">
        <f aca="false">B72+0.25</f>
        <v>5.5</v>
      </c>
      <c r="C73" s="18" t="n">
        <v>28.5</v>
      </c>
      <c r="D73" s="18" t="n">
        <v>-96.5</v>
      </c>
      <c r="E73" s="18" t="n">
        <v>90</v>
      </c>
      <c r="F73" s="18" t="n">
        <f aca="false">E73*0.5144</f>
        <v>46.296</v>
      </c>
      <c r="G73" s="22" t="e">
        <f aca="false">arclethnm(C72,D72,C73,D73)/6</f>
        <v>#NAME?</v>
      </c>
      <c r="H73" s="22" t="e">
        <f aca="false">G73*0.5144</f>
        <v>#NAME?</v>
      </c>
      <c r="I73" s="18" t="n">
        <v>0</v>
      </c>
    </row>
    <row r="74" customFormat="false" ht="12.75" hidden="false" customHeight="false" outlineLevel="0" collapsed="false">
      <c r="A74" s="18" t="n">
        <f aca="false">B74-0.5</f>
        <v>5.25</v>
      </c>
      <c r="B74" s="18" t="n">
        <f aca="false">B73+0.25</f>
        <v>5.75</v>
      </c>
      <c r="C74" s="18" t="n">
        <v>28.6</v>
      </c>
      <c r="D74" s="18" t="n">
        <v>-97.1</v>
      </c>
      <c r="E74" s="18" t="n">
        <v>60</v>
      </c>
      <c r="F74" s="18" t="n">
        <f aca="false">E74*0.5144</f>
        <v>30.864</v>
      </c>
      <c r="G74" s="22" t="e">
        <f aca="false">arclethnm(C73,D73,C74,D74)/6</f>
        <v>#NAME?</v>
      </c>
      <c r="H74" s="22" t="e">
        <f aca="false">G74*0.5144</f>
        <v>#NAME?</v>
      </c>
      <c r="I74" s="18" t="n">
        <v>0</v>
      </c>
    </row>
    <row r="75" customFormat="false" ht="12.75" hidden="false" customHeight="false" outlineLevel="0" collapsed="false">
      <c r="A75" s="18" t="n">
        <f aca="false">B75-0.5</f>
        <v>5.5</v>
      </c>
      <c r="B75" s="18" t="n">
        <f aca="false">B74+0.25</f>
        <v>6</v>
      </c>
      <c r="C75" s="18" t="n">
        <v>28.6</v>
      </c>
      <c r="D75" s="18" t="n">
        <v>-97.7</v>
      </c>
      <c r="E75" s="18" t="n">
        <v>40</v>
      </c>
      <c r="F75" s="18" t="n">
        <f aca="false">E75*0.5144</f>
        <v>20.576</v>
      </c>
      <c r="G75" s="22" t="e">
        <f aca="false">arclethnm(C74,D74,C75,D75)/6</f>
        <v>#NAME?</v>
      </c>
      <c r="H75" s="22" t="e">
        <f aca="false">G75*0.5144</f>
        <v>#NAME?</v>
      </c>
      <c r="I75" s="18" t="n">
        <v>0</v>
      </c>
    </row>
    <row r="76" customFormat="false" ht="12.75" hidden="false" customHeight="false" outlineLevel="0" collapsed="false">
      <c r="A76" s="0"/>
      <c r="B76" s="0"/>
      <c r="C76" s="0"/>
      <c r="D76" s="0"/>
      <c r="E76" s="0"/>
      <c r="F76" s="0"/>
      <c r="G76" s="22"/>
      <c r="H76" s="22"/>
      <c r="I76" s="0"/>
    </row>
    <row r="77" customFormat="false" ht="12.75" hidden="false" customHeight="false" outlineLevel="0" collapsed="false">
      <c r="A77" s="0"/>
      <c r="B77" s="0"/>
      <c r="C77" s="0"/>
      <c r="D77" s="0"/>
      <c r="E77" s="0"/>
      <c r="F77" s="0"/>
      <c r="G77" s="22"/>
      <c r="H77" s="22"/>
      <c r="I77" s="0"/>
    </row>
    <row r="78" customFormat="false" ht="12.75" hidden="false" customHeight="false" outlineLevel="0" collapsed="false">
      <c r="A78" s="0"/>
      <c r="B78" s="20" t="n">
        <v>1869</v>
      </c>
      <c r="C78" s="20" t="s">
        <v>18</v>
      </c>
      <c r="D78" s="20" t="s">
        <v>69</v>
      </c>
      <c r="E78" s="0"/>
      <c r="F78" s="0"/>
      <c r="G78" s="22"/>
      <c r="H78" s="22"/>
      <c r="I78" s="0"/>
    </row>
    <row r="79" customFormat="false" ht="12.75" hidden="false" customHeight="false" outlineLevel="0" collapsed="false">
      <c r="A79" s="0"/>
      <c r="B79" s="0"/>
      <c r="C79" s="0"/>
      <c r="D79" s="0"/>
      <c r="E79" s="0"/>
      <c r="F79" s="0"/>
      <c r="G79" s="22"/>
      <c r="H79" s="22"/>
      <c r="I79" s="0"/>
    </row>
    <row r="80" customFormat="false" ht="12.75" hidden="false" customHeight="false" outlineLevel="0" collapsed="false">
      <c r="A80" s="18" t="n">
        <v>1</v>
      </c>
      <c r="B80" s="18" t="n">
        <v>1</v>
      </c>
      <c r="C80" s="18" t="n">
        <v>27</v>
      </c>
      <c r="D80" s="18" t="n">
        <v>-91.6</v>
      </c>
      <c r="E80" s="18" t="n">
        <v>90</v>
      </c>
      <c r="F80" s="18" t="n">
        <f aca="false">E80*0.5144</f>
        <v>46.296</v>
      </c>
      <c r="G80" s="22"/>
      <c r="H80" s="22"/>
      <c r="I80" s="18" t="n">
        <v>0</v>
      </c>
    </row>
    <row r="81" customFormat="false" ht="12.75" hidden="false" customHeight="false" outlineLevel="0" collapsed="false">
      <c r="A81" s="18" t="n">
        <f aca="false">A80+0.25</f>
        <v>1.25</v>
      </c>
      <c r="B81" s="18" t="n">
        <f aca="false">B80+0.25</f>
        <v>1.25</v>
      </c>
      <c r="C81" s="18" t="n">
        <v>27.2</v>
      </c>
      <c r="D81" s="18" t="n">
        <v>-92.6</v>
      </c>
      <c r="E81" s="18" t="n">
        <v>90</v>
      </c>
      <c r="F81" s="18" t="n">
        <f aca="false">E81*0.5144</f>
        <v>46.296</v>
      </c>
      <c r="G81" s="22" t="e">
        <f aca="false">arclethnm(C80,D80,C81,D81)/6</f>
        <v>#NAME?</v>
      </c>
      <c r="H81" s="22" t="e">
        <f aca="false">G81*0.5144</f>
        <v>#NAME?</v>
      </c>
      <c r="I81" s="18" t="n">
        <v>0</v>
      </c>
    </row>
    <row r="82" customFormat="false" ht="12.75" hidden="false" customHeight="false" outlineLevel="0" collapsed="false">
      <c r="A82" s="18" t="n">
        <f aca="false">A81+0.25</f>
        <v>1.5</v>
      </c>
      <c r="B82" s="18" t="n">
        <f aca="false">B81+0.25</f>
        <v>1.5</v>
      </c>
      <c r="C82" s="18" t="n">
        <v>27.4</v>
      </c>
      <c r="D82" s="18" t="n">
        <v>-93.6</v>
      </c>
      <c r="E82" s="18" t="n">
        <v>90</v>
      </c>
      <c r="F82" s="18" t="n">
        <f aca="false">E82*0.5144</f>
        <v>46.296</v>
      </c>
      <c r="G82" s="22" t="e">
        <f aca="false">arclethnm(C81,D81,C82,D82)/6</f>
        <v>#NAME?</v>
      </c>
      <c r="H82" s="22" t="e">
        <f aca="false">G82*0.5144</f>
        <v>#NAME?</v>
      </c>
      <c r="I82" s="18" t="n">
        <v>0</v>
      </c>
    </row>
    <row r="83" customFormat="false" ht="12.75" hidden="false" customHeight="false" outlineLevel="0" collapsed="false">
      <c r="A83" s="18" t="n">
        <f aca="false">A82+0.25</f>
        <v>1.75</v>
      </c>
      <c r="B83" s="18" t="n">
        <f aca="false">B82+0.25</f>
        <v>1.75</v>
      </c>
      <c r="C83" s="18" t="n">
        <v>27.7</v>
      </c>
      <c r="D83" s="18" t="n">
        <v>-94.6</v>
      </c>
      <c r="E83" s="18" t="n">
        <v>90</v>
      </c>
      <c r="F83" s="18" t="n">
        <f aca="false">E83*0.5144</f>
        <v>46.296</v>
      </c>
      <c r="G83" s="22" t="e">
        <f aca="false">arclethnm(C82,D82,C83,D83)/6</f>
        <v>#NAME?</v>
      </c>
      <c r="H83" s="22" t="e">
        <f aca="false">G83*0.5144</f>
        <v>#NAME?</v>
      </c>
      <c r="I83" s="18" t="n">
        <v>0</v>
      </c>
    </row>
    <row r="84" customFormat="false" ht="12.75" hidden="false" customHeight="false" outlineLevel="0" collapsed="false">
      <c r="A84" s="18" t="n">
        <f aca="false">A83+0.25</f>
        <v>2</v>
      </c>
      <c r="B84" s="18" t="n">
        <f aca="false">B83+0.25</f>
        <v>2</v>
      </c>
      <c r="C84" s="18" t="n">
        <v>27.9</v>
      </c>
      <c r="D84" s="18" t="n">
        <v>-95.6</v>
      </c>
      <c r="E84" s="18" t="n">
        <v>90</v>
      </c>
      <c r="F84" s="18" t="n">
        <f aca="false">E84*0.5144</f>
        <v>46.296</v>
      </c>
      <c r="G84" s="22" t="e">
        <f aca="false">arclethnm(C83,D83,C84,D84)/6</f>
        <v>#NAME?</v>
      </c>
      <c r="H84" s="22" t="e">
        <f aca="false">G84*0.5144</f>
        <v>#NAME?</v>
      </c>
      <c r="I84" s="18" t="n">
        <v>0</v>
      </c>
    </row>
    <row r="85" customFormat="false" ht="12.75" hidden="false" customHeight="false" outlineLevel="0" collapsed="false">
      <c r="A85" s="18" t="n">
        <f aca="false">A84+0.25</f>
        <v>2.25</v>
      </c>
      <c r="B85" s="18" t="n">
        <f aca="false">B84+0.25</f>
        <v>2.25</v>
      </c>
      <c r="C85" s="18" t="n">
        <v>28.1</v>
      </c>
      <c r="D85" s="18" t="n">
        <v>-96.6</v>
      </c>
      <c r="E85" s="18" t="n">
        <v>90</v>
      </c>
      <c r="F85" s="18" t="n">
        <f aca="false">E85*0.5144</f>
        <v>46.296</v>
      </c>
      <c r="G85" s="22" t="e">
        <f aca="false">arclethnm(C84,D84,C85,D85)/6</f>
        <v>#NAME?</v>
      </c>
      <c r="H85" s="22" t="e">
        <f aca="false">G85*0.5144</f>
        <v>#NAME?</v>
      </c>
      <c r="I85" s="18" t="n">
        <v>0</v>
      </c>
    </row>
    <row r="86" customFormat="false" ht="12.75" hidden="false" customHeight="false" outlineLevel="0" collapsed="false">
      <c r="A86" s="18" t="n">
        <f aca="false">A85+0.25</f>
        <v>2.5</v>
      </c>
      <c r="B86" s="18" t="n">
        <f aca="false">B85+0.25</f>
        <v>2.5</v>
      </c>
      <c r="C86" s="18" t="n">
        <v>28.1</v>
      </c>
      <c r="D86" s="18" t="n">
        <v>-96.8</v>
      </c>
      <c r="E86" s="18" t="n">
        <v>90</v>
      </c>
      <c r="F86" s="18" t="n">
        <f aca="false">E86*0.5144</f>
        <v>46.296</v>
      </c>
      <c r="G86" s="22" t="e">
        <f aca="false">arclethnm(C85,D85,C86,D86)/6</f>
        <v>#NAME?</v>
      </c>
      <c r="H86" s="22" t="e">
        <f aca="false">G86*0.5144</f>
        <v>#NAME?</v>
      </c>
      <c r="I86" s="18" t="n">
        <v>0</v>
      </c>
    </row>
    <row r="87" customFormat="false" ht="12.75" hidden="false" customHeight="false" outlineLevel="0" collapsed="false">
      <c r="A87" s="18" t="n">
        <f aca="false">A86+0.25</f>
        <v>2.75</v>
      </c>
      <c r="B87" s="18" t="n">
        <f aca="false">B86+0.25</f>
        <v>2.75</v>
      </c>
      <c r="C87" s="18" t="n">
        <v>28.2</v>
      </c>
      <c r="D87" s="18" t="n">
        <v>-97.6</v>
      </c>
      <c r="E87" s="18" t="n">
        <v>60</v>
      </c>
      <c r="F87" s="18" t="n">
        <f aca="false">E87*0.5144</f>
        <v>30.864</v>
      </c>
      <c r="G87" s="22" t="e">
        <f aca="false">arclethnm(C86,D86,C87,D87)/6</f>
        <v>#NAME?</v>
      </c>
      <c r="H87" s="22" t="e">
        <f aca="false">G87*0.5144</f>
        <v>#NAME?</v>
      </c>
      <c r="I87" s="18" t="n">
        <v>0</v>
      </c>
    </row>
    <row r="88" customFormat="false" ht="12.75" hidden="false" customHeight="false" outlineLevel="0" collapsed="false">
      <c r="A88" s="18" t="n">
        <f aca="false">A87+0.25</f>
        <v>3</v>
      </c>
      <c r="B88" s="18" t="n">
        <f aca="false">B87+0.25</f>
        <v>3</v>
      </c>
      <c r="C88" s="18" t="n">
        <v>28.3</v>
      </c>
      <c r="D88" s="18" t="n">
        <v>-98.8</v>
      </c>
      <c r="E88" s="18" t="n">
        <v>40</v>
      </c>
      <c r="F88" s="18" t="n">
        <f aca="false">E88*0.5144</f>
        <v>20.576</v>
      </c>
      <c r="G88" s="22" t="e">
        <f aca="false">arclethnm(C87,D87,C88,D88)/6</f>
        <v>#NAME?</v>
      </c>
      <c r="H88" s="22" t="e">
        <f aca="false">G88*0.5144</f>
        <v>#NAME?</v>
      </c>
      <c r="I88" s="18" t="n">
        <v>0</v>
      </c>
    </row>
    <row r="89" customFormat="false" ht="12.75" hidden="false" customHeight="false" outlineLevel="0" collapsed="false">
      <c r="A89" s="0"/>
      <c r="B89" s="0"/>
      <c r="C89" s="0"/>
      <c r="D89" s="0"/>
      <c r="E89" s="0"/>
      <c r="F89" s="0"/>
      <c r="G89" s="22"/>
      <c r="H89" s="22"/>
      <c r="I89" s="0"/>
    </row>
    <row r="90" customFormat="false" ht="12.75" hidden="false" customHeight="false" outlineLevel="0" collapsed="false">
      <c r="A90" s="0"/>
      <c r="B90" s="0"/>
      <c r="C90" s="0"/>
      <c r="D90" s="0"/>
      <c r="E90" s="0"/>
      <c r="F90" s="0"/>
      <c r="G90" s="22"/>
      <c r="H90" s="22"/>
      <c r="I90" s="0"/>
    </row>
    <row r="91" customFormat="false" ht="12.75" hidden="false" customHeight="false" outlineLevel="0" collapsed="false">
      <c r="A91" s="0"/>
      <c r="B91" s="0"/>
      <c r="C91" s="0"/>
      <c r="D91" s="0"/>
      <c r="E91" s="0"/>
      <c r="F91" s="0"/>
      <c r="G91" s="22"/>
      <c r="H91" s="22"/>
      <c r="I91" s="0"/>
    </row>
    <row r="92" customFormat="false" ht="12.75" hidden="false" customHeight="false" outlineLevel="0" collapsed="false">
      <c r="A92" s="0"/>
      <c r="B92" s="0"/>
      <c r="C92" s="0"/>
      <c r="D92" s="0"/>
      <c r="E92" s="0"/>
      <c r="F92" s="0"/>
      <c r="G92" s="22"/>
      <c r="H92" s="22"/>
      <c r="I92" s="0"/>
    </row>
    <row r="93" customFormat="false" ht="12.75" hidden="false" customHeight="false" outlineLevel="0" collapsed="false">
      <c r="A93" s="0"/>
      <c r="B93" s="20" t="n">
        <v>1875</v>
      </c>
      <c r="C93" s="20" t="s">
        <v>18</v>
      </c>
      <c r="D93" s="20" t="s">
        <v>70</v>
      </c>
      <c r="E93" s="0"/>
      <c r="F93" s="0"/>
      <c r="G93" s="22"/>
      <c r="H93" s="22"/>
      <c r="I93" s="0"/>
    </row>
    <row r="94" customFormat="false" ht="12.75" hidden="false" customHeight="false" outlineLevel="0" collapsed="false">
      <c r="A94" s="0"/>
      <c r="B94" s="0"/>
      <c r="C94" s="0"/>
      <c r="D94" s="0"/>
      <c r="E94" s="0"/>
      <c r="F94" s="0"/>
      <c r="G94" s="22"/>
      <c r="H94" s="22"/>
      <c r="I94" s="0"/>
    </row>
    <row r="95" customFormat="false" ht="12.75" hidden="false" customHeight="false" outlineLevel="0" collapsed="false">
      <c r="A95" s="18" t="n">
        <v>1</v>
      </c>
      <c r="B95" s="18" t="n">
        <v>1</v>
      </c>
      <c r="C95" s="18" t="n">
        <v>13.9</v>
      </c>
      <c r="D95" s="18" t="n">
        <v>-55.3</v>
      </c>
      <c r="E95" s="18" t="n">
        <v>70</v>
      </c>
      <c r="F95" s="18" t="n">
        <f aca="false">E95*0.5144</f>
        <v>36.008</v>
      </c>
      <c r="G95" s="22"/>
      <c r="H95" s="22"/>
      <c r="I95" s="18" t="n">
        <v>0</v>
      </c>
    </row>
    <row r="96" customFormat="false" ht="12.75" hidden="false" customHeight="false" outlineLevel="0" collapsed="false">
      <c r="A96" s="18" t="n">
        <f aca="false">A95+0.25</f>
        <v>1.25</v>
      </c>
      <c r="B96" s="18" t="n">
        <f aca="false">B95+0.25</f>
        <v>1.25</v>
      </c>
      <c r="C96" s="18" t="n">
        <v>13.9</v>
      </c>
      <c r="D96" s="18" t="n">
        <v>-56.4</v>
      </c>
      <c r="E96" s="18" t="n">
        <v>70</v>
      </c>
      <c r="F96" s="18" t="n">
        <f aca="false">E96*0.5144</f>
        <v>36.008</v>
      </c>
      <c r="G96" s="22" t="e">
        <f aca="false">arclethnm(C95,D95,C96,D96)/6</f>
        <v>#NAME?</v>
      </c>
      <c r="H96" s="22" t="e">
        <f aca="false">G96*0.5144</f>
        <v>#NAME?</v>
      </c>
      <c r="I96" s="18" t="n">
        <v>0</v>
      </c>
    </row>
    <row r="97" customFormat="false" ht="12.75" hidden="false" customHeight="false" outlineLevel="0" collapsed="false">
      <c r="A97" s="18" t="n">
        <f aca="false">A96+0.25</f>
        <v>1.5</v>
      </c>
      <c r="B97" s="18" t="n">
        <f aca="false">B96+0.25</f>
        <v>1.5</v>
      </c>
      <c r="C97" s="18" t="n">
        <v>14</v>
      </c>
      <c r="D97" s="18" t="n">
        <v>-57.5</v>
      </c>
      <c r="E97" s="18" t="n">
        <v>70</v>
      </c>
      <c r="F97" s="18" t="n">
        <f aca="false">E97*0.5144</f>
        <v>36.008</v>
      </c>
      <c r="G97" s="22" t="e">
        <f aca="false">arclethnm(C96,D96,C97,D97)/6</f>
        <v>#NAME?</v>
      </c>
      <c r="H97" s="22" t="e">
        <f aca="false">G97*0.5144</f>
        <v>#NAME?</v>
      </c>
      <c r="I97" s="18" t="n">
        <v>0</v>
      </c>
    </row>
    <row r="98" customFormat="false" ht="12.75" hidden="false" customHeight="false" outlineLevel="0" collapsed="false">
      <c r="A98" s="18" t="n">
        <f aca="false">A97+0.25</f>
        <v>1.75</v>
      </c>
      <c r="B98" s="18" t="n">
        <f aca="false">B97+0.25</f>
        <v>1.75</v>
      </c>
      <c r="C98" s="18" t="n">
        <v>14</v>
      </c>
      <c r="D98" s="18" t="n">
        <v>-58.7</v>
      </c>
      <c r="E98" s="18" t="n">
        <v>70</v>
      </c>
      <c r="F98" s="18" t="n">
        <f aca="false">E98*0.5144</f>
        <v>36.008</v>
      </c>
      <c r="G98" s="22" t="e">
        <f aca="false">arclethnm(C97,D97,C98,D98)/6</f>
        <v>#NAME?</v>
      </c>
      <c r="H98" s="22" t="e">
        <f aca="false">G98*0.5144</f>
        <v>#NAME?</v>
      </c>
      <c r="I98" s="18" t="n">
        <v>0</v>
      </c>
    </row>
    <row r="99" customFormat="false" ht="12.75" hidden="false" customHeight="false" outlineLevel="0" collapsed="false">
      <c r="A99" s="18" t="n">
        <f aca="false">A98+0.25</f>
        <v>2</v>
      </c>
      <c r="B99" s="18" t="n">
        <f aca="false">B98+0.25</f>
        <v>2</v>
      </c>
      <c r="C99" s="18" t="n">
        <v>14.1</v>
      </c>
      <c r="D99" s="18" t="n">
        <v>-59.7</v>
      </c>
      <c r="E99" s="18" t="n">
        <v>80</v>
      </c>
      <c r="F99" s="18" t="n">
        <f aca="false">E99*0.5144</f>
        <v>41.152</v>
      </c>
      <c r="G99" s="22" t="e">
        <f aca="false">arclethnm(C98,D98,C99,D99)/6</f>
        <v>#NAME?</v>
      </c>
      <c r="H99" s="22" t="e">
        <f aca="false">G99*0.5144</f>
        <v>#NAME?</v>
      </c>
      <c r="I99" s="18" t="n">
        <v>0</v>
      </c>
    </row>
    <row r="100" customFormat="false" ht="12.75" hidden="false" customHeight="false" outlineLevel="0" collapsed="false">
      <c r="A100" s="18" t="n">
        <f aca="false">A99+0.25</f>
        <v>2.25</v>
      </c>
      <c r="B100" s="18" t="n">
        <f aca="false">B99+0.25</f>
        <v>2.25</v>
      </c>
      <c r="C100" s="18" t="n">
        <v>14.2</v>
      </c>
      <c r="D100" s="18" t="n">
        <v>-60.7</v>
      </c>
      <c r="E100" s="18" t="n">
        <v>80</v>
      </c>
      <c r="F100" s="18" t="n">
        <f aca="false">E100*0.5144</f>
        <v>41.152</v>
      </c>
      <c r="G100" s="22" t="e">
        <f aca="false">arclethnm(C99,D99,C100,D100)/6</f>
        <v>#NAME?</v>
      </c>
      <c r="H100" s="22" t="e">
        <f aca="false">G100*0.5144</f>
        <v>#NAME?</v>
      </c>
      <c r="I100" s="18" t="n">
        <v>0</v>
      </c>
    </row>
    <row r="101" customFormat="false" ht="12.75" hidden="false" customHeight="false" outlineLevel="0" collapsed="false">
      <c r="A101" s="18" t="n">
        <f aca="false">A100+0.25</f>
        <v>2.5</v>
      </c>
      <c r="B101" s="18" t="n">
        <f aca="false">B100+0.25</f>
        <v>2.5</v>
      </c>
      <c r="C101" s="18" t="n">
        <v>14.3</v>
      </c>
      <c r="D101" s="18" t="n">
        <v>-61.8</v>
      </c>
      <c r="E101" s="18" t="n">
        <v>80</v>
      </c>
      <c r="F101" s="18" t="n">
        <f aca="false">E101*0.5144</f>
        <v>41.152</v>
      </c>
      <c r="G101" s="22" t="e">
        <f aca="false">arclethnm(C100,D100,C101,D101)/6</f>
        <v>#NAME?</v>
      </c>
      <c r="H101" s="22" t="e">
        <f aca="false">G101*0.5144</f>
        <v>#NAME?</v>
      </c>
      <c r="I101" s="18" t="n">
        <v>0</v>
      </c>
    </row>
    <row r="102" customFormat="false" ht="12.75" hidden="false" customHeight="false" outlineLevel="0" collapsed="false">
      <c r="A102" s="18" t="n">
        <f aca="false">A101+0.25</f>
        <v>2.75</v>
      </c>
      <c r="B102" s="18" t="n">
        <f aca="false">B101+0.25</f>
        <v>2.75</v>
      </c>
      <c r="C102" s="18" t="n">
        <v>14.4</v>
      </c>
      <c r="D102" s="18" t="n">
        <v>-62.7</v>
      </c>
      <c r="E102" s="18" t="n">
        <v>80</v>
      </c>
      <c r="F102" s="18" t="n">
        <f aca="false">E102*0.5144</f>
        <v>41.152</v>
      </c>
      <c r="G102" s="22" t="e">
        <f aca="false">arclethnm(C101,D101,C102,D102)/6</f>
        <v>#NAME?</v>
      </c>
      <c r="H102" s="22" t="e">
        <f aca="false">G102*0.5144</f>
        <v>#NAME?</v>
      </c>
      <c r="I102" s="18" t="n">
        <v>0</v>
      </c>
    </row>
    <row r="103" customFormat="false" ht="12.75" hidden="false" customHeight="false" outlineLevel="0" collapsed="false">
      <c r="A103" s="18" t="n">
        <f aca="false">A102+0.25</f>
        <v>3</v>
      </c>
      <c r="B103" s="18" t="n">
        <f aca="false">B102+0.25</f>
        <v>3</v>
      </c>
      <c r="C103" s="18" t="n">
        <v>14.5</v>
      </c>
      <c r="D103" s="18" t="n">
        <v>-63.5</v>
      </c>
      <c r="E103" s="18" t="n">
        <v>80</v>
      </c>
      <c r="F103" s="18" t="n">
        <f aca="false">E103*0.5144</f>
        <v>41.152</v>
      </c>
      <c r="G103" s="22" t="e">
        <f aca="false">arclethnm(C102,D102,C103,D103)/6</f>
        <v>#NAME?</v>
      </c>
      <c r="H103" s="22" t="e">
        <f aca="false">G103*0.5144</f>
        <v>#NAME?</v>
      </c>
      <c r="I103" s="18" t="n">
        <v>0</v>
      </c>
    </row>
    <row r="104" customFormat="false" ht="12.75" hidden="false" customHeight="false" outlineLevel="0" collapsed="false">
      <c r="A104" s="18" t="n">
        <f aca="false">A103+0.25</f>
        <v>3.25</v>
      </c>
      <c r="B104" s="18" t="n">
        <f aca="false">B103+0.25</f>
        <v>3.25</v>
      </c>
      <c r="C104" s="18" t="n">
        <v>14.6</v>
      </c>
      <c r="D104" s="18" t="n">
        <v>-64.3</v>
      </c>
      <c r="E104" s="18" t="n">
        <v>80</v>
      </c>
      <c r="F104" s="18" t="n">
        <f aca="false">E104*0.5144</f>
        <v>41.152</v>
      </c>
      <c r="G104" s="22" t="e">
        <f aca="false">arclethnm(C103,D103,C104,D104)/6</f>
        <v>#NAME?</v>
      </c>
      <c r="H104" s="22" t="e">
        <f aca="false">G104*0.5144</f>
        <v>#NAME?</v>
      </c>
      <c r="I104" s="18" t="n">
        <v>0</v>
      </c>
    </row>
    <row r="105" customFormat="false" ht="12.75" hidden="false" customHeight="false" outlineLevel="0" collapsed="false">
      <c r="A105" s="18" t="n">
        <f aca="false">A104+0.25</f>
        <v>3.5</v>
      </c>
      <c r="B105" s="18" t="n">
        <f aca="false">B104+0.25</f>
        <v>3.5</v>
      </c>
      <c r="C105" s="18" t="n">
        <v>14.8</v>
      </c>
      <c r="D105" s="18" t="n">
        <v>-65.1</v>
      </c>
      <c r="E105" s="18" t="n">
        <v>80</v>
      </c>
      <c r="F105" s="18" t="n">
        <f aca="false">E105*0.5144</f>
        <v>41.152</v>
      </c>
      <c r="G105" s="22" t="e">
        <f aca="false">arclethnm(C104,D104,C105,D105)/6</f>
        <v>#NAME?</v>
      </c>
      <c r="H105" s="22" t="e">
        <f aca="false">G105*0.5144</f>
        <v>#NAME?</v>
      </c>
      <c r="I105" s="18" t="n">
        <v>0</v>
      </c>
    </row>
    <row r="106" customFormat="false" ht="12.75" hidden="false" customHeight="false" outlineLevel="0" collapsed="false">
      <c r="A106" s="18" t="n">
        <f aca="false">A105+0.25</f>
        <v>3.75</v>
      </c>
      <c r="B106" s="18" t="n">
        <f aca="false">B105+0.25</f>
        <v>3.75</v>
      </c>
      <c r="C106" s="18" t="n">
        <v>15.1</v>
      </c>
      <c r="D106" s="18" t="n">
        <v>-66.3</v>
      </c>
      <c r="E106" s="18" t="n">
        <v>80</v>
      </c>
      <c r="F106" s="18" t="n">
        <f aca="false">E106*0.5144</f>
        <v>41.152</v>
      </c>
      <c r="G106" s="22" t="e">
        <f aca="false">arclethnm(C105,D105,C106,D106)/6</f>
        <v>#NAME?</v>
      </c>
      <c r="H106" s="22" t="e">
        <f aca="false">G106*0.5144</f>
        <v>#NAME?</v>
      </c>
      <c r="I106" s="18" t="n">
        <v>0</v>
      </c>
    </row>
    <row r="107" customFormat="false" ht="12.75" hidden="false" customHeight="false" outlineLevel="0" collapsed="false">
      <c r="A107" s="18" t="n">
        <f aca="false">A106+0.25</f>
        <v>4</v>
      </c>
      <c r="B107" s="18" t="n">
        <f aca="false">B106+0.25</f>
        <v>4</v>
      </c>
      <c r="C107" s="18" t="n">
        <v>15.5</v>
      </c>
      <c r="D107" s="18" t="n">
        <v>-67.4</v>
      </c>
      <c r="E107" s="18" t="n">
        <v>90</v>
      </c>
      <c r="F107" s="18" t="n">
        <f aca="false">E107*0.5144</f>
        <v>46.296</v>
      </c>
      <c r="G107" s="22" t="e">
        <f aca="false">arclethnm(C106,D106,C107,D107)/6</f>
        <v>#NAME?</v>
      </c>
      <c r="H107" s="22" t="e">
        <f aca="false">G107*0.5144</f>
        <v>#NAME?</v>
      </c>
      <c r="I107" s="18" t="n">
        <v>0</v>
      </c>
    </row>
    <row r="108" customFormat="false" ht="12.75" hidden="false" customHeight="false" outlineLevel="0" collapsed="false">
      <c r="A108" s="18" t="n">
        <f aca="false">A107+0.25</f>
        <v>4.25</v>
      </c>
      <c r="B108" s="18" t="n">
        <f aca="false">B107+0.25</f>
        <v>4.25</v>
      </c>
      <c r="C108" s="18" t="n">
        <v>15.8</v>
      </c>
      <c r="D108" s="18" t="n">
        <v>-68.4</v>
      </c>
      <c r="E108" s="18" t="n">
        <v>90</v>
      </c>
      <c r="F108" s="18" t="n">
        <f aca="false">E108*0.5144</f>
        <v>46.296</v>
      </c>
      <c r="G108" s="22" t="e">
        <f aca="false">arclethnm(C107,D107,C108,D108)/6</f>
        <v>#NAME?</v>
      </c>
      <c r="H108" s="22" t="e">
        <f aca="false">G108*0.5144</f>
        <v>#NAME?</v>
      </c>
      <c r="I108" s="18" t="n">
        <v>0</v>
      </c>
    </row>
    <row r="109" customFormat="false" ht="12.75" hidden="false" customHeight="false" outlineLevel="0" collapsed="false">
      <c r="A109" s="18" t="n">
        <f aca="false">A108+0.25</f>
        <v>4.5</v>
      </c>
      <c r="B109" s="18" t="n">
        <f aca="false">B108+0.25</f>
        <v>4.5</v>
      </c>
      <c r="C109" s="18" t="n">
        <v>16.1</v>
      </c>
      <c r="D109" s="18" t="n">
        <v>-69.3</v>
      </c>
      <c r="E109" s="18" t="n">
        <v>90</v>
      </c>
      <c r="F109" s="18" t="n">
        <f aca="false">E109*0.5144</f>
        <v>46.296</v>
      </c>
      <c r="G109" s="22" t="e">
        <f aca="false">arclethnm(C108,D108,C109,D109)/6</f>
        <v>#NAME?</v>
      </c>
      <c r="H109" s="22" t="e">
        <f aca="false">G109*0.5144</f>
        <v>#NAME?</v>
      </c>
      <c r="I109" s="18" t="n">
        <v>0</v>
      </c>
    </row>
    <row r="110" customFormat="false" ht="12.75" hidden="false" customHeight="false" outlineLevel="0" collapsed="false">
      <c r="A110" s="18" t="n">
        <f aca="false">A109+0.25</f>
        <v>4.75</v>
      </c>
      <c r="B110" s="18" t="n">
        <f aca="false">B109+0.25</f>
        <v>4.75</v>
      </c>
      <c r="C110" s="18" t="n">
        <v>16.4</v>
      </c>
      <c r="D110" s="18" t="n">
        <v>-70.1</v>
      </c>
      <c r="E110" s="18" t="n">
        <v>90</v>
      </c>
      <c r="F110" s="18" t="n">
        <f aca="false">E110*0.5144</f>
        <v>46.296</v>
      </c>
      <c r="G110" s="22" t="e">
        <f aca="false">arclethnm(C109,D109,C110,D110)/6</f>
        <v>#NAME?</v>
      </c>
      <c r="H110" s="22" t="e">
        <f aca="false">G110*0.5144</f>
        <v>#NAME?</v>
      </c>
      <c r="I110" s="18" t="n">
        <v>0</v>
      </c>
    </row>
    <row r="111" customFormat="false" ht="12.75" hidden="false" customHeight="false" outlineLevel="0" collapsed="false">
      <c r="A111" s="18" t="n">
        <f aca="false">A110+0.25</f>
        <v>5</v>
      </c>
      <c r="B111" s="18" t="n">
        <f aca="false">B110+0.25</f>
        <v>5</v>
      </c>
      <c r="C111" s="18" t="n">
        <v>16.7</v>
      </c>
      <c r="D111" s="18" t="n">
        <v>-71.3</v>
      </c>
      <c r="E111" s="18" t="n">
        <v>90</v>
      </c>
      <c r="F111" s="18" t="n">
        <f aca="false">E111*0.5144</f>
        <v>46.296</v>
      </c>
      <c r="G111" s="22" t="e">
        <f aca="false">arclethnm(C110,D110,C111,D111)/6</f>
        <v>#NAME?</v>
      </c>
      <c r="H111" s="22" t="e">
        <f aca="false">G111*0.5144</f>
        <v>#NAME?</v>
      </c>
      <c r="I111" s="18" t="n">
        <v>0</v>
      </c>
    </row>
    <row r="112" customFormat="false" ht="12.75" hidden="false" customHeight="false" outlineLevel="0" collapsed="false">
      <c r="A112" s="18" t="n">
        <f aca="false">A111+0.25</f>
        <v>5.25</v>
      </c>
      <c r="B112" s="18" t="n">
        <f aca="false">B111+0.25</f>
        <v>5.25</v>
      </c>
      <c r="C112" s="18" t="n">
        <v>17.1</v>
      </c>
      <c r="D112" s="18" t="n">
        <v>-72.1</v>
      </c>
      <c r="E112" s="18" t="n">
        <v>90</v>
      </c>
      <c r="F112" s="18" t="n">
        <f aca="false">E112*0.5144</f>
        <v>46.296</v>
      </c>
      <c r="G112" s="22" t="e">
        <f aca="false">arclethnm(C111,D111,C112,D112)/6</f>
        <v>#NAME?</v>
      </c>
      <c r="H112" s="22" t="e">
        <f aca="false">G112*0.5144</f>
        <v>#NAME?</v>
      </c>
      <c r="I112" s="18" t="n">
        <v>0</v>
      </c>
    </row>
    <row r="113" customFormat="false" ht="12.75" hidden="false" customHeight="false" outlineLevel="0" collapsed="false">
      <c r="A113" s="18" t="n">
        <f aca="false">A112+0.25</f>
        <v>5.5</v>
      </c>
      <c r="B113" s="18" t="n">
        <f aca="false">B112+0.25</f>
        <v>5.5</v>
      </c>
      <c r="C113" s="18" t="n">
        <v>17.5</v>
      </c>
      <c r="D113" s="18" t="n">
        <v>-73</v>
      </c>
      <c r="E113" s="18" t="n">
        <v>90</v>
      </c>
      <c r="F113" s="18" t="n">
        <f aca="false">E113*0.5144</f>
        <v>46.296</v>
      </c>
      <c r="G113" s="22" t="e">
        <f aca="false">arclethnm(C112,D112,C113,D113)/6</f>
        <v>#NAME?</v>
      </c>
      <c r="H113" s="22" t="e">
        <f aca="false">G113*0.5144</f>
        <v>#NAME?</v>
      </c>
      <c r="I113" s="18" t="n">
        <v>0</v>
      </c>
    </row>
    <row r="114" customFormat="false" ht="12.75" hidden="false" customHeight="false" outlineLevel="0" collapsed="false">
      <c r="A114" s="18" t="n">
        <f aca="false">A113+0.25</f>
        <v>5.75</v>
      </c>
      <c r="B114" s="18" t="n">
        <f aca="false">B113+0.25</f>
        <v>5.75</v>
      </c>
      <c r="C114" s="18" t="n">
        <v>18.2</v>
      </c>
      <c r="D114" s="18" t="n">
        <v>-74.5</v>
      </c>
      <c r="E114" s="18" t="n">
        <v>90</v>
      </c>
      <c r="F114" s="18" t="n">
        <f aca="false">E114*0.5144</f>
        <v>46.296</v>
      </c>
      <c r="G114" s="22" t="e">
        <f aca="false">arclethnm(C113,D113,C114,D114)/6</f>
        <v>#NAME?</v>
      </c>
      <c r="H114" s="22" t="e">
        <f aca="false">G114*0.5144</f>
        <v>#NAME?</v>
      </c>
      <c r="I114" s="18" t="n">
        <v>0</v>
      </c>
    </row>
    <row r="115" customFormat="false" ht="12.75" hidden="false" customHeight="false" outlineLevel="0" collapsed="false">
      <c r="A115" s="18" t="n">
        <f aca="false">A114+0.25</f>
        <v>6</v>
      </c>
      <c r="B115" s="18" t="n">
        <f aca="false">B114+0.25</f>
        <v>6</v>
      </c>
      <c r="C115" s="18" t="n">
        <v>19.4</v>
      </c>
      <c r="D115" s="18" t="n">
        <v>-76</v>
      </c>
      <c r="E115" s="18" t="n">
        <v>90</v>
      </c>
      <c r="F115" s="18" t="n">
        <f aca="false">E115*0.5144</f>
        <v>46.296</v>
      </c>
      <c r="G115" s="22" t="e">
        <f aca="false">arclethnm(C114,D114,C115,D115)/6</f>
        <v>#NAME?</v>
      </c>
      <c r="H115" s="22" t="e">
        <f aca="false">G115*0.5144</f>
        <v>#NAME?</v>
      </c>
      <c r="I115" s="18" t="n">
        <v>0</v>
      </c>
    </row>
    <row r="116" customFormat="false" ht="12.75" hidden="false" customHeight="false" outlineLevel="0" collapsed="false">
      <c r="A116" s="18" t="n">
        <f aca="false">A115+0.25</f>
        <v>6.25</v>
      </c>
      <c r="B116" s="18" t="n">
        <f aca="false">B115+0.25</f>
        <v>6.25</v>
      </c>
      <c r="C116" s="18" t="n">
        <v>20.2</v>
      </c>
      <c r="D116" s="18" t="n">
        <v>-77.5</v>
      </c>
      <c r="E116" s="18" t="n">
        <v>90</v>
      </c>
      <c r="F116" s="18" t="n">
        <f aca="false">E116*0.5144</f>
        <v>46.296</v>
      </c>
      <c r="G116" s="22" t="e">
        <f aca="false">arclethnm(C115,D115,C116,D116)/6</f>
        <v>#NAME?</v>
      </c>
      <c r="H116" s="22" t="e">
        <f aca="false">G116*0.5144</f>
        <v>#NAME?</v>
      </c>
      <c r="I116" s="18" t="n">
        <v>0</v>
      </c>
    </row>
    <row r="117" customFormat="false" ht="12.75" hidden="false" customHeight="false" outlineLevel="0" collapsed="false">
      <c r="A117" s="18" t="n">
        <f aca="false">A116+0.25</f>
        <v>6.5</v>
      </c>
      <c r="B117" s="18" t="n">
        <f aca="false">B116+0.25</f>
        <v>6.5</v>
      </c>
      <c r="C117" s="18" t="n">
        <v>21</v>
      </c>
      <c r="D117" s="18" t="n">
        <v>-78.5</v>
      </c>
      <c r="E117" s="18" t="n">
        <v>80</v>
      </c>
      <c r="F117" s="18" t="n">
        <f aca="false">E117*0.5144</f>
        <v>41.152</v>
      </c>
      <c r="G117" s="22" t="e">
        <f aca="false">arclethnm(C116,D116,C117,D117)/6</f>
        <v>#NAME?</v>
      </c>
      <c r="H117" s="22" t="e">
        <f aca="false">G117*0.5144</f>
        <v>#NAME?</v>
      </c>
      <c r="I117" s="18" t="n">
        <v>978</v>
      </c>
    </row>
    <row r="118" customFormat="false" ht="12.75" hidden="false" customHeight="false" outlineLevel="0" collapsed="false">
      <c r="A118" s="18" t="n">
        <f aca="false">A117+0.25</f>
        <v>6.75</v>
      </c>
      <c r="B118" s="18" t="n">
        <f aca="false">B117+0.25</f>
        <v>6.75</v>
      </c>
      <c r="C118" s="18" t="n">
        <v>22</v>
      </c>
      <c r="D118" s="18" t="n">
        <v>-79.9</v>
      </c>
      <c r="E118" s="18" t="n">
        <v>80</v>
      </c>
      <c r="F118" s="18" t="n">
        <f aca="false">E118*0.5144</f>
        <v>41.152</v>
      </c>
      <c r="G118" s="22" t="e">
        <f aca="false">arclethnm(C117,D117,C118,D118)/6</f>
        <v>#NAME?</v>
      </c>
      <c r="H118" s="22" t="e">
        <f aca="false">G118*0.5144</f>
        <v>#NAME?</v>
      </c>
      <c r="I118" s="18" t="n">
        <v>0</v>
      </c>
    </row>
    <row r="119" customFormat="false" ht="12.75" hidden="false" customHeight="false" outlineLevel="0" collapsed="false">
      <c r="A119" s="18" t="n">
        <f aca="false">A118+0.25</f>
        <v>7</v>
      </c>
      <c r="B119" s="18" t="n">
        <f aca="false">B118+0.25</f>
        <v>7</v>
      </c>
      <c r="C119" s="18" t="n">
        <v>22.7</v>
      </c>
      <c r="D119" s="18" t="n">
        <v>-80.9</v>
      </c>
      <c r="E119" s="18" t="n">
        <v>70</v>
      </c>
      <c r="F119" s="18" t="n">
        <f aca="false">E119*0.5144</f>
        <v>36.008</v>
      </c>
      <c r="G119" s="22" t="e">
        <f aca="false">arclethnm(C118,D118,C119,D119)/6</f>
        <v>#NAME?</v>
      </c>
      <c r="H119" s="22" t="e">
        <f aca="false">G119*0.5144</f>
        <v>#NAME?</v>
      </c>
      <c r="I119" s="18" t="n">
        <v>0</v>
      </c>
    </row>
    <row r="120" customFormat="false" ht="12.75" hidden="false" customHeight="false" outlineLevel="0" collapsed="false">
      <c r="A120" s="18" t="n">
        <f aca="false">A119+0.25</f>
        <v>7.25</v>
      </c>
      <c r="B120" s="18" t="n">
        <f aca="false">B119+0.25</f>
        <v>7.25</v>
      </c>
      <c r="C120" s="18" t="n">
        <v>23.4</v>
      </c>
      <c r="D120" s="18" t="n">
        <v>-82.4</v>
      </c>
      <c r="E120" s="18" t="n">
        <v>60</v>
      </c>
      <c r="F120" s="18" t="n">
        <f aca="false">E120*0.5144</f>
        <v>30.864</v>
      </c>
      <c r="G120" s="22" t="e">
        <f aca="false">arclethnm(C119,D119,C120,D120)/6</f>
        <v>#NAME?</v>
      </c>
      <c r="H120" s="22" t="e">
        <f aca="false">G120*0.5144</f>
        <v>#NAME?</v>
      </c>
      <c r="I120" s="18" t="n">
        <v>992</v>
      </c>
    </row>
    <row r="121" customFormat="false" ht="12.75" hidden="false" customHeight="false" outlineLevel="0" collapsed="false">
      <c r="A121" s="18" t="n">
        <f aca="false">A120+0.25</f>
        <v>7.5</v>
      </c>
      <c r="B121" s="18" t="n">
        <f aca="false">B120+0.25</f>
        <v>7.5</v>
      </c>
      <c r="C121" s="18" t="n">
        <v>24</v>
      </c>
      <c r="D121" s="18" t="n">
        <v>-83.9</v>
      </c>
      <c r="E121" s="18" t="n">
        <v>70</v>
      </c>
      <c r="F121" s="18" t="n">
        <f aca="false">E121*0.5144</f>
        <v>36.008</v>
      </c>
      <c r="G121" s="22" t="e">
        <f aca="false">arclethnm(C120,D120,C121,D121)/6</f>
        <v>#NAME?</v>
      </c>
      <c r="H121" s="22" t="e">
        <f aca="false">G121*0.5144</f>
        <v>#NAME?</v>
      </c>
      <c r="I121" s="18" t="n">
        <v>0</v>
      </c>
    </row>
    <row r="122" customFormat="false" ht="12.75" hidden="false" customHeight="false" outlineLevel="0" collapsed="false">
      <c r="A122" s="18" t="n">
        <f aca="false">A121+0.25</f>
        <v>7.75</v>
      </c>
      <c r="B122" s="18" t="n">
        <f aca="false">B121+0.25</f>
        <v>7.75</v>
      </c>
      <c r="C122" s="18" t="n">
        <v>24.7</v>
      </c>
      <c r="D122" s="18" t="n">
        <v>-85.4</v>
      </c>
      <c r="E122" s="18" t="n">
        <v>80</v>
      </c>
      <c r="F122" s="18" t="n">
        <f aca="false">E122*0.5144</f>
        <v>41.152</v>
      </c>
      <c r="G122" s="22" t="e">
        <f aca="false">arclethnm(C121,D121,C122,D122)/6</f>
        <v>#NAME?</v>
      </c>
      <c r="H122" s="22" t="e">
        <f aca="false">G122*0.5144</f>
        <v>#NAME?</v>
      </c>
      <c r="I122" s="18" t="n">
        <v>0</v>
      </c>
    </row>
    <row r="123" customFormat="false" ht="12.75" hidden="false" customHeight="false" outlineLevel="0" collapsed="false">
      <c r="A123" s="18" t="n">
        <f aca="false">A122+0.25</f>
        <v>8</v>
      </c>
      <c r="B123" s="18" t="n">
        <f aca="false">B122+0.25</f>
        <v>8</v>
      </c>
      <c r="C123" s="18" t="n">
        <v>25.8</v>
      </c>
      <c r="D123" s="18" t="n">
        <v>-87.1</v>
      </c>
      <c r="E123" s="18" t="n">
        <v>80</v>
      </c>
      <c r="F123" s="18" t="n">
        <f aca="false">E123*0.5144</f>
        <v>41.152</v>
      </c>
      <c r="G123" s="22" t="e">
        <f aca="false">arclethnm(C122,D122,C123,D123)/6</f>
        <v>#NAME?</v>
      </c>
      <c r="H123" s="22" t="e">
        <f aca="false">G123*0.5144</f>
        <v>#NAME?</v>
      </c>
      <c r="I123" s="18" t="n">
        <v>0</v>
      </c>
    </row>
    <row r="124" customFormat="false" ht="12.75" hidden="false" customHeight="false" outlineLevel="0" collapsed="false">
      <c r="A124" s="18" t="n">
        <f aca="false">A123+0.25</f>
        <v>8.25</v>
      </c>
      <c r="B124" s="18" t="n">
        <f aca="false">B123+0.25</f>
        <v>8.25</v>
      </c>
      <c r="C124" s="18" t="n">
        <v>26.3</v>
      </c>
      <c r="D124" s="18" t="n">
        <v>-89.1</v>
      </c>
      <c r="E124" s="18" t="n">
        <v>80</v>
      </c>
      <c r="F124" s="18" t="n">
        <f aca="false">E124*0.5144</f>
        <v>41.152</v>
      </c>
      <c r="G124" s="22" t="e">
        <f aca="false">arclethnm(C123,D123,C124,D124)/6</f>
        <v>#NAME?</v>
      </c>
      <c r="H124" s="22" t="e">
        <f aca="false">G124*0.5144</f>
        <v>#NAME?</v>
      </c>
      <c r="I124" s="18" t="n">
        <v>0</v>
      </c>
    </row>
    <row r="125" customFormat="false" ht="12.75" hidden="false" customHeight="false" outlineLevel="0" collapsed="false">
      <c r="A125" s="18" t="n">
        <f aca="false">A124+0.25</f>
        <v>8.5</v>
      </c>
      <c r="B125" s="18" t="n">
        <f aca="false">B124+0.25</f>
        <v>8.5</v>
      </c>
      <c r="C125" s="18" t="n">
        <v>26.6</v>
      </c>
      <c r="D125" s="18" t="n">
        <v>-90.5</v>
      </c>
      <c r="E125" s="18" t="n">
        <v>90</v>
      </c>
      <c r="F125" s="18" t="n">
        <f aca="false">E125*0.5144</f>
        <v>46.296</v>
      </c>
      <c r="G125" s="22" t="e">
        <f aca="false">arclethnm(C124,D124,C125,D125)/6</f>
        <v>#NAME?</v>
      </c>
      <c r="H125" s="22" t="e">
        <f aca="false">G125*0.5144</f>
        <v>#NAME?</v>
      </c>
      <c r="I125" s="18" t="n">
        <v>0</v>
      </c>
    </row>
    <row r="126" customFormat="false" ht="12.75" hidden="false" customHeight="false" outlineLevel="0" collapsed="false">
      <c r="A126" s="18" t="n">
        <f aca="false">A125+0.25</f>
        <v>8.75</v>
      </c>
      <c r="B126" s="18" t="n">
        <f aca="false">B125+0.25</f>
        <v>8.75</v>
      </c>
      <c r="C126" s="18" t="n">
        <v>26.8</v>
      </c>
      <c r="D126" s="18" t="n">
        <v>-92</v>
      </c>
      <c r="E126" s="18" t="n">
        <v>90</v>
      </c>
      <c r="F126" s="18" t="n">
        <f aca="false">E126*0.5144</f>
        <v>46.296</v>
      </c>
      <c r="G126" s="22" t="e">
        <f aca="false">arclethnm(C125,D125,C126,D126)/6</f>
        <v>#NAME?</v>
      </c>
      <c r="H126" s="22" t="e">
        <f aca="false">G126*0.5144</f>
        <v>#NAME?</v>
      </c>
      <c r="I126" s="18" t="n">
        <v>0</v>
      </c>
    </row>
    <row r="127" customFormat="false" ht="12.75" hidden="false" customHeight="false" outlineLevel="0" collapsed="false">
      <c r="A127" s="18" t="n">
        <f aca="false">A126+0.25</f>
        <v>9</v>
      </c>
      <c r="B127" s="18" t="n">
        <f aca="false">B126+0.25</f>
        <v>9</v>
      </c>
      <c r="C127" s="18" t="n">
        <v>27</v>
      </c>
      <c r="D127" s="18" t="n">
        <v>-93.4</v>
      </c>
      <c r="E127" s="18" t="n">
        <v>90</v>
      </c>
      <c r="F127" s="18" t="n">
        <f aca="false">E127*0.5144</f>
        <v>46.296</v>
      </c>
      <c r="G127" s="22" t="e">
        <f aca="false">arclethnm(C126,D126,C127,D127)/6</f>
        <v>#NAME?</v>
      </c>
      <c r="H127" s="22" t="e">
        <f aca="false">G127*0.5144</f>
        <v>#NAME?</v>
      </c>
      <c r="I127" s="18" t="n">
        <v>0</v>
      </c>
    </row>
    <row r="128" customFormat="false" ht="12.75" hidden="false" customHeight="false" outlineLevel="0" collapsed="false">
      <c r="A128" s="18" t="n">
        <f aca="false">A127+0.25</f>
        <v>9.25</v>
      </c>
      <c r="B128" s="18" t="n">
        <f aca="false">B127+0.25</f>
        <v>9.25</v>
      </c>
      <c r="C128" s="18" t="n">
        <v>27.1</v>
      </c>
      <c r="D128" s="18" t="n">
        <v>-94.9</v>
      </c>
      <c r="E128" s="18" t="n">
        <v>90</v>
      </c>
      <c r="F128" s="18" t="n">
        <f aca="false">E128*0.5144</f>
        <v>46.296</v>
      </c>
      <c r="G128" s="22" t="e">
        <f aca="false">arclethnm(C127,D127,C128,D128)/6</f>
        <v>#NAME?</v>
      </c>
      <c r="H128" s="22" t="e">
        <f aca="false">G128*0.5144</f>
        <v>#NAME?</v>
      </c>
      <c r="I128" s="18" t="n">
        <v>0</v>
      </c>
    </row>
    <row r="129" customFormat="false" ht="12.75" hidden="false" customHeight="false" outlineLevel="0" collapsed="false">
      <c r="A129" s="18" t="n">
        <f aca="false">A128+0.25</f>
        <v>9.5</v>
      </c>
      <c r="B129" s="18" t="n">
        <f aca="false">B128+0.25</f>
        <v>9.5</v>
      </c>
      <c r="C129" s="18" t="n">
        <v>27.1</v>
      </c>
      <c r="D129" s="18" t="n">
        <v>-96.1</v>
      </c>
      <c r="E129" s="18" t="n">
        <v>100</v>
      </c>
      <c r="F129" s="18" t="n">
        <f aca="false">E129*0.5144</f>
        <v>51.44</v>
      </c>
      <c r="G129" s="22" t="e">
        <f aca="false">arclethnm(C128,D128,C129,D129)/6</f>
        <v>#NAME?</v>
      </c>
      <c r="H129" s="22" t="e">
        <f aca="false">G129*0.5144</f>
        <v>#NAME?</v>
      </c>
      <c r="I129" s="18" t="n">
        <v>0</v>
      </c>
    </row>
    <row r="130" customFormat="false" ht="12.75" hidden="false" customHeight="false" outlineLevel="0" collapsed="false">
      <c r="A130" s="18" t="n">
        <f aca="false">A129+0.25</f>
        <v>9.75</v>
      </c>
      <c r="B130" s="18" t="n">
        <f aca="false">B129+0.25</f>
        <v>9.75</v>
      </c>
      <c r="C130" s="18" t="n">
        <v>27.4</v>
      </c>
      <c r="D130" s="18" t="n">
        <v>-96.9</v>
      </c>
      <c r="E130" s="18" t="n">
        <v>100</v>
      </c>
      <c r="F130" s="18" t="n">
        <f aca="false">E130*0.5144</f>
        <v>51.44</v>
      </c>
      <c r="G130" s="22" t="e">
        <f aca="false">arclethnm(C129,D129,C130,D130)/6</f>
        <v>#NAME?</v>
      </c>
      <c r="H130" s="22" t="e">
        <f aca="false">G130*0.5144</f>
        <v>#NAME?</v>
      </c>
      <c r="I130" s="18" t="n">
        <v>0</v>
      </c>
    </row>
    <row r="131" customFormat="false" ht="12.75" hidden="false" customHeight="false" outlineLevel="0" collapsed="false">
      <c r="A131" s="18" t="n">
        <f aca="false">A130+0.25</f>
        <v>10</v>
      </c>
      <c r="B131" s="18" t="n">
        <f aca="false">B130+0.25</f>
        <v>10</v>
      </c>
      <c r="C131" s="18" t="n">
        <v>27.7</v>
      </c>
      <c r="D131" s="18" t="n">
        <v>-97.2</v>
      </c>
      <c r="E131" s="18" t="n">
        <v>100</v>
      </c>
      <c r="F131" s="18" t="n">
        <f aca="false">E131*0.5144</f>
        <v>51.44</v>
      </c>
      <c r="G131" s="22" t="e">
        <f aca="false">arclethnm(C130,D130,C131,D131)/6</f>
        <v>#NAME?</v>
      </c>
      <c r="H131" s="22" t="e">
        <f aca="false">G131*0.5144</f>
        <v>#NAME?</v>
      </c>
      <c r="I131" s="18" t="n">
        <v>0</v>
      </c>
    </row>
    <row r="132" customFormat="false" ht="12.75" hidden="false" customHeight="false" outlineLevel="0" collapsed="false">
      <c r="A132" s="18" t="n">
        <f aca="false">A131+0.25</f>
        <v>10.25</v>
      </c>
      <c r="B132" s="18" t="n">
        <f aca="false">B131+0.25</f>
        <v>10.25</v>
      </c>
      <c r="C132" s="18" t="n">
        <v>28</v>
      </c>
      <c r="D132" s="18" t="n">
        <v>-97.3</v>
      </c>
      <c r="E132" s="18" t="n">
        <v>90</v>
      </c>
      <c r="F132" s="18" t="n">
        <f aca="false">E132*0.5144</f>
        <v>46.296</v>
      </c>
      <c r="G132" s="22" t="e">
        <f aca="false">arclethnm(C131,D131,C132,D132)/6</f>
        <v>#NAME?</v>
      </c>
      <c r="H132" s="22" t="e">
        <f aca="false">G132*0.5144</f>
        <v>#NAME?</v>
      </c>
      <c r="I132" s="18" t="n">
        <v>0</v>
      </c>
    </row>
    <row r="133" customFormat="false" ht="12.75" hidden="false" customHeight="false" outlineLevel="0" collapsed="false">
      <c r="A133" s="18" t="n">
        <f aca="false">A132+0.25</f>
        <v>10.5</v>
      </c>
      <c r="B133" s="18" t="n">
        <f aca="false">B132+0.25</f>
        <v>10.5</v>
      </c>
      <c r="C133" s="18" t="n">
        <v>28.8</v>
      </c>
      <c r="D133" s="18" t="n">
        <v>-97.3</v>
      </c>
      <c r="E133" s="18" t="n">
        <v>70</v>
      </c>
      <c r="F133" s="18" t="n">
        <f aca="false">E133*0.5144</f>
        <v>36.008</v>
      </c>
      <c r="G133" s="22" t="e">
        <f aca="false">arclethnm(C132,D132,C133,D133)/6</f>
        <v>#NAME?</v>
      </c>
      <c r="H133" s="22" t="e">
        <f aca="false">G133*0.5144</f>
        <v>#NAME?</v>
      </c>
      <c r="I133" s="18" t="n">
        <v>0</v>
      </c>
    </row>
    <row r="134" customFormat="false" ht="12.75" hidden="false" customHeight="false" outlineLevel="0" collapsed="false">
      <c r="A134" s="18" t="n">
        <f aca="false">A133+0.25</f>
        <v>10.75</v>
      </c>
      <c r="B134" s="18" t="n">
        <f aca="false">B133+0.25</f>
        <v>10.75</v>
      </c>
      <c r="C134" s="18" t="n">
        <v>29.5</v>
      </c>
      <c r="D134" s="18" t="n">
        <v>-97</v>
      </c>
      <c r="E134" s="18" t="n">
        <v>60</v>
      </c>
      <c r="F134" s="18" t="n">
        <f aca="false">E134*0.5144</f>
        <v>30.864</v>
      </c>
      <c r="G134" s="22" t="e">
        <f aca="false">arclethnm(C133,D133,C134,D134)/6</f>
        <v>#NAME?</v>
      </c>
      <c r="H134" s="22" t="e">
        <f aca="false">G134*0.5144</f>
        <v>#NAME?</v>
      </c>
      <c r="I134" s="18" t="n">
        <v>0</v>
      </c>
    </row>
    <row r="135" customFormat="false" ht="12.75" hidden="false" customHeight="false" outlineLevel="0" collapsed="false">
      <c r="A135" s="18" t="n">
        <f aca="false">A134+0.25</f>
        <v>11</v>
      </c>
      <c r="B135" s="18" t="n">
        <f aca="false">B134+0.25</f>
        <v>11</v>
      </c>
      <c r="C135" s="18" t="n">
        <v>30</v>
      </c>
      <c r="D135" s="18" t="n">
        <v>-96.2</v>
      </c>
      <c r="E135" s="18" t="n">
        <v>50</v>
      </c>
      <c r="F135" s="18" t="n">
        <f aca="false">E135*0.5144</f>
        <v>25.72</v>
      </c>
      <c r="G135" s="22" t="e">
        <f aca="false">arclethnm(C134,D134,C135,D135)/6</f>
        <v>#NAME?</v>
      </c>
      <c r="H135" s="22" t="e">
        <f aca="false">G135*0.5144</f>
        <v>#NAME?</v>
      </c>
      <c r="I135" s="18" t="n">
        <v>0</v>
      </c>
    </row>
    <row r="136" customFormat="false" ht="12.75" hidden="false" customHeight="false" outlineLevel="0" collapsed="false">
      <c r="A136" s="18" t="n">
        <f aca="false">A135+0.25</f>
        <v>11.25</v>
      </c>
      <c r="B136" s="18" t="n">
        <f aca="false">B135+0.25</f>
        <v>11.25</v>
      </c>
      <c r="C136" s="18" t="n">
        <v>30.3</v>
      </c>
      <c r="D136" s="18" t="n">
        <v>-95</v>
      </c>
      <c r="E136" s="18" t="n">
        <v>40</v>
      </c>
      <c r="F136" s="18" t="n">
        <f aca="false">E136*0.5144</f>
        <v>20.576</v>
      </c>
      <c r="G136" s="22" t="e">
        <f aca="false">arclethnm(C135,D135,C136,D136)/6</f>
        <v>#NAME?</v>
      </c>
      <c r="H136" s="22" t="e">
        <f aca="false">G136*0.5144</f>
        <v>#NAME?</v>
      </c>
      <c r="I136" s="18" t="n">
        <v>0</v>
      </c>
    </row>
    <row r="137" customFormat="false" ht="12.75" hidden="false" customHeight="false" outlineLevel="0" collapsed="false">
      <c r="A137" s="18" t="n">
        <f aca="false">A136+0.25</f>
        <v>11.5</v>
      </c>
      <c r="B137" s="18" t="n">
        <f aca="false">B136+0.25</f>
        <v>11.5</v>
      </c>
      <c r="C137" s="18" t="n">
        <v>30.6</v>
      </c>
      <c r="D137" s="18" t="n">
        <v>-93.5</v>
      </c>
      <c r="E137" s="18" t="n">
        <v>40</v>
      </c>
      <c r="F137" s="18" t="n">
        <f aca="false">E137*0.5144</f>
        <v>20.576</v>
      </c>
      <c r="G137" s="22" t="e">
        <f aca="false">arclethnm(C136,D136,C137,D137)/6</f>
        <v>#NAME?</v>
      </c>
      <c r="H137" s="22" t="e">
        <f aca="false">G137*0.5144</f>
        <v>#NAME?</v>
      </c>
      <c r="I137" s="18" t="n">
        <v>0</v>
      </c>
    </row>
    <row r="138" customFormat="false" ht="12.75" hidden="false" customHeight="false" outlineLevel="0" collapsed="false">
      <c r="A138" s="18" t="n">
        <f aca="false">A137+0.25</f>
        <v>11.75</v>
      </c>
      <c r="B138" s="18" t="n">
        <f aca="false">B137+0.25</f>
        <v>11.75</v>
      </c>
      <c r="C138" s="18" t="n">
        <v>31</v>
      </c>
      <c r="D138" s="18" t="n">
        <v>-91.8</v>
      </c>
      <c r="E138" s="18" t="n">
        <v>30</v>
      </c>
      <c r="F138" s="18" t="n">
        <f aca="false">E138*0.5144</f>
        <v>15.432</v>
      </c>
      <c r="G138" s="22" t="e">
        <f aca="false">arclethnm(C137,D137,C138,D138)/6</f>
        <v>#NAME?</v>
      </c>
      <c r="H138" s="22" t="e">
        <f aca="false">G138*0.5144</f>
        <v>#NAME?</v>
      </c>
      <c r="I138" s="18" t="n">
        <v>0</v>
      </c>
    </row>
    <row r="139" customFormat="false" ht="12.75" hidden="false" customHeight="false" outlineLevel="0" collapsed="false">
      <c r="A139" s="18" t="n">
        <f aca="false">A138+0.25</f>
        <v>12</v>
      </c>
      <c r="B139" s="18" t="n">
        <f aca="false">B138+0.25</f>
        <v>12</v>
      </c>
      <c r="C139" s="18" t="n">
        <v>31.5</v>
      </c>
      <c r="D139" s="18" t="n">
        <v>-90</v>
      </c>
      <c r="E139" s="18" t="n">
        <v>30</v>
      </c>
      <c r="F139" s="18" t="n">
        <f aca="false">E139*0.5144</f>
        <v>15.432</v>
      </c>
      <c r="G139" s="22" t="e">
        <f aca="false">arclethnm(C138,D138,C139,D139)/6</f>
        <v>#NAME?</v>
      </c>
      <c r="H139" s="22" t="e">
        <f aca="false">G139*0.5144</f>
        <v>#NAME?</v>
      </c>
      <c r="I139" s="18" t="n">
        <v>0</v>
      </c>
    </row>
    <row r="140" customFormat="false" ht="12.75" hidden="false" customHeight="false" outlineLevel="0" collapsed="false">
      <c r="A140" s="0"/>
      <c r="B140" s="0"/>
      <c r="C140" s="0"/>
      <c r="D140" s="0"/>
      <c r="E140" s="0"/>
      <c r="F140" s="0"/>
      <c r="G140" s="22"/>
      <c r="H140" s="22"/>
      <c r="I140" s="0"/>
    </row>
    <row r="141" customFormat="false" ht="12.75" hidden="false" customHeight="false" outlineLevel="0" collapsed="false">
      <c r="A141" s="0"/>
      <c r="B141" s="0"/>
      <c r="C141" s="0"/>
      <c r="D141" s="0"/>
      <c r="E141" s="0"/>
      <c r="F141" s="0"/>
      <c r="G141" s="22"/>
      <c r="H141" s="22"/>
      <c r="I141" s="0"/>
    </row>
    <row r="142" customFormat="false" ht="12.75" hidden="false" customHeight="false" outlineLevel="0" collapsed="false">
      <c r="A142" s="0"/>
      <c r="B142" s="0"/>
      <c r="C142" s="0"/>
      <c r="D142" s="0"/>
      <c r="E142" s="0"/>
      <c r="F142" s="0"/>
      <c r="G142" s="22"/>
      <c r="H142" s="22"/>
      <c r="I142" s="0"/>
    </row>
    <row r="143" customFormat="false" ht="12.75" hidden="false" customHeight="false" outlineLevel="0" collapsed="false">
      <c r="A143" s="0"/>
      <c r="B143" s="20" t="n">
        <v>1879</v>
      </c>
      <c r="C143" s="20" t="s">
        <v>18</v>
      </c>
      <c r="D143" s="20" t="s">
        <v>71</v>
      </c>
      <c r="E143" s="0"/>
      <c r="F143" s="0"/>
      <c r="G143" s="22"/>
      <c r="H143" s="22"/>
      <c r="I143" s="0"/>
    </row>
    <row r="144" customFormat="false" ht="12.75" hidden="false" customHeight="false" outlineLevel="0" collapsed="false">
      <c r="A144" s="0"/>
      <c r="B144" s="0"/>
      <c r="C144" s="0"/>
      <c r="D144" s="0"/>
      <c r="E144" s="0"/>
      <c r="F144" s="0"/>
      <c r="G144" s="22"/>
      <c r="H144" s="22"/>
      <c r="I144" s="0"/>
    </row>
    <row r="145" customFormat="false" ht="12.75" hidden="false" customHeight="false" outlineLevel="0" collapsed="false">
      <c r="A145" s="18" t="n">
        <v>1</v>
      </c>
      <c r="B145" s="18" t="n">
        <v>1</v>
      </c>
      <c r="C145" s="18" t="n">
        <v>16.7</v>
      </c>
      <c r="D145" s="18" t="n">
        <v>-81.1</v>
      </c>
      <c r="E145" s="18" t="n">
        <v>60</v>
      </c>
      <c r="F145" s="18" t="n">
        <f aca="false">E145*0.5144</f>
        <v>30.864</v>
      </c>
      <c r="G145" s="22"/>
      <c r="H145" s="22"/>
      <c r="I145" s="18" t="n">
        <v>0</v>
      </c>
    </row>
    <row r="146" customFormat="false" ht="12.75" hidden="false" customHeight="false" outlineLevel="0" collapsed="false">
      <c r="A146" s="18" t="n">
        <f aca="false">A145+0.25</f>
        <v>1.25</v>
      </c>
      <c r="B146" s="18" t="n">
        <f aca="false">B145+0.25</f>
        <v>1.25</v>
      </c>
      <c r="C146" s="18" t="n">
        <v>17.1</v>
      </c>
      <c r="D146" s="18" t="n">
        <v>-82.1</v>
      </c>
      <c r="E146" s="18" t="n">
        <v>60</v>
      </c>
      <c r="F146" s="18" t="n">
        <f aca="false">E146*0.5144</f>
        <v>30.864</v>
      </c>
      <c r="G146" s="22" t="e">
        <f aca="false">arclethnm(C145,D145,C146,D146)/6</f>
        <v>#NAME?</v>
      </c>
      <c r="H146" s="22" t="e">
        <f aca="false">G146*0.5144</f>
        <v>#NAME?</v>
      </c>
      <c r="I146" s="18" t="n">
        <v>0</v>
      </c>
    </row>
    <row r="147" customFormat="false" ht="12.75" hidden="false" customHeight="false" outlineLevel="0" collapsed="false">
      <c r="A147" s="18" t="n">
        <f aca="false">A146+0.25</f>
        <v>1.5</v>
      </c>
      <c r="B147" s="18" t="n">
        <f aca="false">B146+0.25</f>
        <v>1.5</v>
      </c>
      <c r="C147" s="18" t="n">
        <v>17.5</v>
      </c>
      <c r="D147" s="18" t="n">
        <v>-83</v>
      </c>
      <c r="E147" s="18" t="n">
        <v>60</v>
      </c>
      <c r="F147" s="18" t="n">
        <f aca="false">E147*0.5144</f>
        <v>30.864</v>
      </c>
      <c r="G147" s="22" t="e">
        <f aca="false">arclethnm(C146,D146,C147,D147)/6</f>
        <v>#NAME?</v>
      </c>
      <c r="H147" s="22" t="e">
        <f aca="false">G147*0.5144</f>
        <v>#NAME?</v>
      </c>
      <c r="I147" s="18" t="n">
        <v>0</v>
      </c>
    </row>
    <row r="148" customFormat="false" ht="12.75" hidden="false" customHeight="false" outlineLevel="0" collapsed="false">
      <c r="A148" s="18" t="n">
        <f aca="false">A147+0.25</f>
        <v>1.75</v>
      </c>
      <c r="B148" s="18" t="n">
        <f aca="false">B147+0.25</f>
        <v>1.75</v>
      </c>
      <c r="C148" s="18" t="n">
        <v>18</v>
      </c>
      <c r="D148" s="18" t="n">
        <v>-84.1</v>
      </c>
      <c r="E148" s="18" t="n">
        <v>60</v>
      </c>
      <c r="F148" s="18" t="n">
        <f aca="false">E148*0.5144</f>
        <v>30.864</v>
      </c>
      <c r="G148" s="22" t="e">
        <f aca="false">arclethnm(C147,D147,C148,D148)/6</f>
        <v>#NAME?</v>
      </c>
      <c r="H148" s="22" t="e">
        <f aca="false">G148*0.5144</f>
        <v>#NAME?</v>
      </c>
      <c r="I148" s="18" t="n">
        <v>0</v>
      </c>
    </row>
    <row r="149" customFormat="false" ht="12.75" hidden="false" customHeight="false" outlineLevel="0" collapsed="false">
      <c r="A149" s="18" t="n">
        <f aca="false">A148+0.25</f>
        <v>2</v>
      </c>
      <c r="B149" s="18" t="n">
        <f aca="false">B148+0.25</f>
        <v>2</v>
      </c>
      <c r="C149" s="18" t="n">
        <v>18.5</v>
      </c>
      <c r="D149" s="18" t="n">
        <v>-85.4</v>
      </c>
      <c r="E149" s="18" t="n">
        <v>70</v>
      </c>
      <c r="F149" s="18" t="n">
        <f aca="false">E149*0.5144</f>
        <v>36.008</v>
      </c>
      <c r="G149" s="22" t="e">
        <f aca="false">arclethnm(C148,D148,C149,D149)/6</f>
        <v>#NAME?</v>
      </c>
      <c r="H149" s="22" t="e">
        <f aca="false">G149*0.5144</f>
        <v>#NAME?</v>
      </c>
      <c r="I149" s="18" t="n">
        <v>0</v>
      </c>
    </row>
    <row r="150" customFormat="false" ht="12.75" hidden="false" customHeight="false" outlineLevel="0" collapsed="false">
      <c r="A150" s="18" t="n">
        <f aca="false">A149+0.25</f>
        <v>2.25</v>
      </c>
      <c r="B150" s="18" t="n">
        <f aca="false">B149+0.25</f>
        <v>2.25</v>
      </c>
      <c r="C150" s="18" t="n">
        <v>19.1</v>
      </c>
      <c r="D150" s="18" t="n">
        <v>-86.5</v>
      </c>
      <c r="E150" s="18" t="n">
        <v>70</v>
      </c>
      <c r="F150" s="18" t="n">
        <f aca="false">E150*0.5144</f>
        <v>36.008</v>
      </c>
      <c r="G150" s="22" t="e">
        <f aca="false">arclethnm(C149,D149,C150,D150)/6</f>
        <v>#NAME?</v>
      </c>
      <c r="H150" s="22" t="e">
        <f aca="false">G150*0.5144</f>
        <v>#NAME?</v>
      </c>
      <c r="I150" s="18" t="n">
        <v>0</v>
      </c>
    </row>
    <row r="151" customFormat="false" ht="12.75" hidden="false" customHeight="false" outlineLevel="0" collapsed="false">
      <c r="A151" s="18" t="n">
        <f aca="false">A150+0.25</f>
        <v>2.5</v>
      </c>
      <c r="B151" s="18" t="n">
        <f aca="false">B150+0.25</f>
        <v>2.5</v>
      </c>
      <c r="C151" s="18" t="n">
        <v>19.7</v>
      </c>
      <c r="D151" s="18" t="n">
        <v>-87.6</v>
      </c>
      <c r="E151" s="18" t="n">
        <v>70</v>
      </c>
      <c r="F151" s="18" t="n">
        <f aca="false">E151*0.5144</f>
        <v>36.008</v>
      </c>
      <c r="G151" s="22" t="e">
        <f aca="false">arclethnm(C150,D150,C151,D151)/6</f>
        <v>#NAME?</v>
      </c>
      <c r="H151" s="22" t="e">
        <f aca="false">G151*0.5144</f>
        <v>#NAME?</v>
      </c>
      <c r="I151" s="18" t="n">
        <v>0</v>
      </c>
    </row>
    <row r="152" customFormat="false" ht="12.75" hidden="false" customHeight="false" outlineLevel="0" collapsed="false">
      <c r="A152" s="18" t="n">
        <f aca="false">A151+0.25</f>
        <v>2.75</v>
      </c>
      <c r="B152" s="18" t="n">
        <f aca="false">B151+0.25</f>
        <v>2.75</v>
      </c>
      <c r="C152" s="18" t="n">
        <v>20.2</v>
      </c>
      <c r="D152" s="18" t="n">
        <v>-89</v>
      </c>
      <c r="E152" s="18" t="n">
        <v>60</v>
      </c>
      <c r="F152" s="18" t="n">
        <f aca="false">E152*0.5144</f>
        <v>30.864</v>
      </c>
      <c r="G152" s="22" t="e">
        <f aca="false">arclethnm(C151,D151,C152,D152)/6</f>
        <v>#NAME?</v>
      </c>
      <c r="H152" s="22" t="e">
        <f aca="false">G152*0.5144</f>
        <v>#NAME?</v>
      </c>
      <c r="I152" s="18" t="n">
        <v>0</v>
      </c>
    </row>
    <row r="153" customFormat="false" ht="12.75" hidden="false" customHeight="false" outlineLevel="0" collapsed="false">
      <c r="A153" s="18" t="n">
        <f aca="false">A152+0.25</f>
        <v>3</v>
      </c>
      <c r="B153" s="18" t="n">
        <f aca="false">B152+0.25</f>
        <v>3</v>
      </c>
      <c r="C153" s="18" t="n">
        <v>21</v>
      </c>
      <c r="D153" s="18" t="n">
        <v>-90.3</v>
      </c>
      <c r="E153" s="18" t="n">
        <v>60</v>
      </c>
      <c r="F153" s="18" t="n">
        <f aca="false">E153*0.5144</f>
        <v>30.864</v>
      </c>
      <c r="G153" s="22" t="e">
        <f aca="false">arclethnm(C152,D152,C153,D153)/6</f>
        <v>#NAME?</v>
      </c>
      <c r="H153" s="22" t="e">
        <f aca="false">G153*0.5144</f>
        <v>#NAME?</v>
      </c>
      <c r="I153" s="18" t="n">
        <v>0</v>
      </c>
    </row>
    <row r="154" customFormat="false" ht="12.75" hidden="false" customHeight="false" outlineLevel="0" collapsed="false">
      <c r="A154" s="18" t="n">
        <f aca="false">A153+0.25</f>
        <v>3.25</v>
      </c>
      <c r="B154" s="18" t="n">
        <f aca="false">B153+0.25</f>
        <v>3.25</v>
      </c>
      <c r="C154" s="18" t="n">
        <v>22</v>
      </c>
      <c r="D154" s="18" t="n">
        <v>-91.5</v>
      </c>
      <c r="E154" s="18" t="n">
        <v>60</v>
      </c>
      <c r="F154" s="18" t="n">
        <f aca="false">E154*0.5144</f>
        <v>30.864</v>
      </c>
      <c r="G154" s="22" t="e">
        <f aca="false">arclethnm(C153,D153,C154,D154)/6</f>
        <v>#NAME?</v>
      </c>
      <c r="H154" s="22" t="e">
        <f aca="false">G154*0.5144</f>
        <v>#NAME?</v>
      </c>
      <c r="I154" s="18" t="n">
        <v>0</v>
      </c>
    </row>
    <row r="155" customFormat="false" ht="12.75" hidden="false" customHeight="false" outlineLevel="0" collapsed="false">
      <c r="A155" s="18" t="n">
        <f aca="false">A154+0.25</f>
        <v>3.5</v>
      </c>
      <c r="B155" s="18" t="n">
        <f aca="false">B154+0.25</f>
        <v>3.5</v>
      </c>
      <c r="C155" s="18" t="n">
        <v>23</v>
      </c>
      <c r="D155" s="18" t="n">
        <v>-92.5</v>
      </c>
      <c r="E155" s="18" t="n">
        <v>70</v>
      </c>
      <c r="F155" s="18" t="n">
        <f aca="false">E155*0.5144</f>
        <v>36.008</v>
      </c>
      <c r="G155" s="22" t="e">
        <f aca="false">arclethnm(C154,D154,C155,D155)/6</f>
        <v>#NAME?</v>
      </c>
      <c r="H155" s="22" t="e">
        <f aca="false">G155*0.5144</f>
        <v>#NAME?</v>
      </c>
      <c r="I155" s="18" t="n">
        <v>0</v>
      </c>
    </row>
    <row r="156" customFormat="false" ht="12.75" hidden="false" customHeight="false" outlineLevel="0" collapsed="false">
      <c r="A156" s="18" t="n">
        <f aca="false">A155+0.25</f>
        <v>3.75</v>
      </c>
      <c r="B156" s="18" t="n">
        <f aca="false">B155+0.25</f>
        <v>3.75</v>
      </c>
      <c r="C156" s="18" t="n">
        <v>24</v>
      </c>
      <c r="D156" s="18" t="n">
        <v>-93</v>
      </c>
      <c r="E156" s="18" t="n">
        <v>70</v>
      </c>
      <c r="F156" s="18" t="n">
        <f aca="false">E156*0.5144</f>
        <v>36.008</v>
      </c>
      <c r="G156" s="22" t="e">
        <f aca="false">arclethnm(C155,D155,C156,D156)/6</f>
        <v>#NAME?</v>
      </c>
      <c r="H156" s="22" t="e">
        <f aca="false">G156*0.5144</f>
        <v>#NAME?</v>
      </c>
      <c r="I156" s="18" t="n">
        <v>0</v>
      </c>
    </row>
    <row r="157" customFormat="false" ht="12.75" hidden="false" customHeight="false" outlineLevel="0" collapsed="false">
      <c r="A157" s="18" t="n">
        <f aca="false">A156+0.25</f>
        <v>4</v>
      </c>
      <c r="B157" s="18" t="n">
        <f aca="false">B156+0.25</f>
        <v>4</v>
      </c>
      <c r="C157" s="18" t="n">
        <v>25</v>
      </c>
      <c r="D157" s="18" t="n">
        <v>-93.5</v>
      </c>
      <c r="E157" s="18" t="n">
        <v>80</v>
      </c>
      <c r="F157" s="18" t="n">
        <f aca="false">E157*0.5144</f>
        <v>41.152</v>
      </c>
      <c r="G157" s="22" t="e">
        <f aca="false">arclethnm(C156,D156,C157,D157)/6</f>
        <v>#NAME?</v>
      </c>
      <c r="H157" s="22" t="e">
        <f aca="false">G157*0.5144</f>
        <v>#NAME?</v>
      </c>
      <c r="I157" s="18" t="n">
        <v>0</v>
      </c>
    </row>
    <row r="158" customFormat="false" ht="12.75" hidden="false" customHeight="false" outlineLevel="0" collapsed="false">
      <c r="A158" s="18" t="n">
        <f aca="false">A157+0.25</f>
        <v>4.25</v>
      </c>
      <c r="B158" s="18" t="n">
        <f aca="false">B157+0.25</f>
        <v>4.25</v>
      </c>
      <c r="C158" s="18" t="n">
        <v>26.1</v>
      </c>
      <c r="D158" s="18" t="n">
        <v>-93.8</v>
      </c>
      <c r="E158" s="18" t="n">
        <v>80</v>
      </c>
      <c r="F158" s="18" t="n">
        <f aca="false">E158*0.5144</f>
        <v>41.152</v>
      </c>
      <c r="G158" s="22" t="e">
        <f aca="false">arclethnm(C157,D157,C158,D158)/6</f>
        <v>#NAME?</v>
      </c>
      <c r="H158" s="22" t="e">
        <f aca="false">G158*0.5144</f>
        <v>#NAME?</v>
      </c>
      <c r="I158" s="18" t="n">
        <v>0</v>
      </c>
    </row>
    <row r="159" customFormat="false" ht="12.75" hidden="false" customHeight="false" outlineLevel="0" collapsed="false">
      <c r="A159" s="18" t="n">
        <f aca="false">A158+0.25</f>
        <v>4.5</v>
      </c>
      <c r="B159" s="18" t="n">
        <f aca="false">B158+0.25</f>
        <v>4.5</v>
      </c>
      <c r="C159" s="18" t="n">
        <v>27.1</v>
      </c>
      <c r="D159" s="18" t="n">
        <v>-94</v>
      </c>
      <c r="E159" s="18" t="n">
        <v>90</v>
      </c>
      <c r="F159" s="18" t="n">
        <f aca="false">E159*0.5144</f>
        <v>46.296</v>
      </c>
      <c r="G159" s="22" t="e">
        <f aca="false">arclethnm(C158,D158,C159,D159)/6</f>
        <v>#NAME?</v>
      </c>
      <c r="H159" s="22" t="e">
        <f aca="false">G159*0.5144</f>
        <v>#NAME?</v>
      </c>
      <c r="I159" s="18" t="n">
        <v>0</v>
      </c>
    </row>
    <row r="160" customFormat="false" ht="12.75" hidden="false" customHeight="false" outlineLevel="0" collapsed="false">
      <c r="A160" s="18" t="n">
        <f aca="false">A159+0.25</f>
        <v>4.75</v>
      </c>
      <c r="B160" s="18" t="n">
        <f aca="false">B159+0.25</f>
        <v>4.75</v>
      </c>
      <c r="C160" s="18" t="n">
        <v>28.1</v>
      </c>
      <c r="D160" s="18" t="n">
        <v>-94.2</v>
      </c>
      <c r="E160" s="18" t="n">
        <v>90</v>
      </c>
      <c r="F160" s="18" t="n">
        <f aca="false">E160*0.5144</f>
        <v>46.296</v>
      </c>
      <c r="G160" s="22" t="e">
        <f aca="false">arclethnm(C159,D159,C160,D160)/6</f>
        <v>#NAME?</v>
      </c>
      <c r="H160" s="22" t="e">
        <f aca="false">G160*0.5144</f>
        <v>#NAME?</v>
      </c>
      <c r="I160" s="18" t="n">
        <v>0</v>
      </c>
    </row>
    <row r="161" customFormat="false" ht="12.75" hidden="false" customHeight="false" outlineLevel="0" collapsed="false">
      <c r="A161" s="18" t="n">
        <f aca="false">A160+0.25</f>
        <v>5</v>
      </c>
      <c r="B161" s="18" t="n">
        <f aca="false">B160+0.25</f>
        <v>5</v>
      </c>
      <c r="C161" s="18" t="n">
        <v>29.3</v>
      </c>
      <c r="D161" s="18" t="n">
        <v>-94.4</v>
      </c>
      <c r="E161" s="18" t="n">
        <v>90</v>
      </c>
      <c r="F161" s="18" t="n">
        <f aca="false">E161*0.5144</f>
        <v>46.296</v>
      </c>
      <c r="G161" s="22" t="e">
        <f aca="false">arclethnm(C160,D160,C161,D161)/6</f>
        <v>#NAME?</v>
      </c>
      <c r="H161" s="22" t="e">
        <f aca="false">G161*0.5144</f>
        <v>#NAME?</v>
      </c>
      <c r="I161" s="18" t="n">
        <v>964</v>
      </c>
    </row>
    <row r="162" customFormat="false" ht="12.75" hidden="false" customHeight="false" outlineLevel="0" collapsed="false">
      <c r="A162" s="18" t="n">
        <f aca="false">A161+0.25</f>
        <v>5.25</v>
      </c>
      <c r="B162" s="18" t="n">
        <f aca="false">B161+0.25</f>
        <v>5.25</v>
      </c>
      <c r="C162" s="18" t="n">
        <v>29.6</v>
      </c>
      <c r="D162" s="18" t="n">
        <v>-94.4</v>
      </c>
      <c r="E162" s="18" t="n">
        <v>90</v>
      </c>
      <c r="F162" s="18" t="n">
        <f aca="false">E162*0.5144</f>
        <v>46.296</v>
      </c>
      <c r="G162" s="22" t="e">
        <f aca="false">arclethnm(C161,D161,C162,D162)/6</f>
        <v>#NAME?</v>
      </c>
      <c r="H162" s="22" t="e">
        <f aca="false">G162*0.5144</f>
        <v>#NAME?</v>
      </c>
      <c r="I162" s="18" t="n">
        <v>964</v>
      </c>
    </row>
    <row r="163" customFormat="false" ht="12.75" hidden="false" customHeight="false" outlineLevel="0" collapsed="false">
      <c r="A163" s="18" t="n">
        <f aca="false">A162+0.25</f>
        <v>5.5</v>
      </c>
      <c r="B163" s="18" t="n">
        <f aca="false">B162+0.25</f>
        <v>5.5</v>
      </c>
      <c r="C163" s="18" t="n">
        <v>30.8</v>
      </c>
      <c r="D163" s="18" t="n">
        <v>-94.2</v>
      </c>
      <c r="E163" s="18" t="n">
        <v>70</v>
      </c>
      <c r="F163" s="18" t="n">
        <f aca="false">E163*0.5144</f>
        <v>36.008</v>
      </c>
      <c r="G163" s="22" t="e">
        <f aca="false">arclethnm(C162,D162,C163,D163)/6</f>
        <v>#NAME?</v>
      </c>
      <c r="H163" s="22" t="e">
        <f aca="false">G163*0.5144</f>
        <v>#NAME?</v>
      </c>
      <c r="I163" s="18" t="n">
        <v>0</v>
      </c>
    </row>
    <row r="164" customFormat="false" ht="12.75" hidden="false" customHeight="false" outlineLevel="0" collapsed="false">
      <c r="A164" s="18" t="n">
        <f aca="false">A163+0.25</f>
        <v>5.75</v>
      </c>
      <c r="B164" s="18" t="n">
        <f aca="false">B163+0.25</f>
        <v>5.75</v>
      </c>
      <c r="C164" s="18" t="n">
        <v>32.3</v>
      </c>
      <c r="D164" s="18" t="n">
        <v>-93.8</v>
      </c>
      <c r="E164" s="18" t="n">
        <v>50</v>
      </c>
      <c r="F164" s="18" t="n">
        <f aca="false">E164*0.5144</f>
        <v>25.72</v>
      </c>
      <c r="G164" s="22" t="e">
        <f aca="false">arclethnm(C163,D163,C164,D164)/6</f>
        <v>#NAME?</v>
      </c>
      <c r="H164" s="22" t="e">
        <f aca="false">G164*0.5144</f>
        <v>#NAME?</v>
      </c>
      <c r="I164" s="18" t="n">
        <v>988</v>
      </c>
    </row>
    <row r="165" customFormat="false" ht="12.75" hidden="false" customHeight="false" outlineLevel="0" collapsed="false">
      <c r="A165" s="18" t="n">
        <f aca="false">A164+0.25</f>
        <v>6</v>
      </c>
      <c r="B165" s="18" t="n">
        <f aca="false">B164+0.25</f>
        <v>6</v>
      </c>
      <c r="C165" s="18" t="n">
        <v>33.5</v>
      </c>
      <c r="D165" s="18" t="n">
        <v>-93.3</v>
      </c>
      <c r="E165" s="18" t="n">
        <v>40</v>
      </c>
      <c r="F165" s="18" t="n">
        <f aca="false">E165*0.5144</f>
        <v>20.576</v>
      </c>
      <c r="G165" s="22" t="e">
        <f aca="false">arclethnm(C164,D164,C165,D165)/6</f>
        <v>#NAME?</v>
      </c>
      <c r="H165" s="22" t="e">
        <f aca="false">G165*0.5144</f>
        <v>#NAME?</v>
      </c>
      <c r="I165" s="18" t="n">
        <v>0</v>
      </c>
    </row>
    <row r="166" customFormat="false" ht="12.75" hidden="false" customHeight="false" outlineLevel="0" collapsed="false">
      <c r="A166" s="18" t="n">
        <f aca="false">A165+0.25</f>
        <v>6.25</v>
      </c>
      <c r="B166" s="18" t="n">
        <f aca="false">B165+0.25</f>
        <v>6.25</v>
      </c>
      <c r="C166" s="18" t="n">
        <v>34.4</v>
      </c>
      <c r="D166" s="18" t="n">
        <v>-92.6</v>
      </c>
      <c r="E166" s="18" t="n">
        <v>40</v>
      </c>
      <c r="F166" s="18" t="n">
        <f aca="false">E166*0.5144</f>
        <v>20.576</v>
      </c>
      <c r="G166" s="22" t="e">
        <f aca="false">arclethnm(C165,D165,C166,D166)/6</f>
        <v>#NAME?</v>
      </c>
      <c r="H166" s="22" t="e">
        <f aca="false">G166*0.5144</f>
        <v>#NAME?</v>
      </c>
      <c r="I166" s="18" t="n">
        <v>0</v>
      </c>
    </row>
    <row r="167" customFormat="false" ht="12.75" hidden="false" customHeight="false" outlineLevel="0" collapsed="false">
      <c r="A167" s="18" t="n">
        <f aca="false">A166+0.25</f>
        <v>6.5</v>
      </c>
      <c r="B167" s="18" t="n">
        <f aca="false">B166+0.25</f>
        <v>6.5</v>
      </c>
      <c r="C167" s="18" t="n">
        <v>35.2</v>
      </c>
      <c r="D167" s="18" t="n">
        <v>-91.6</v>
      </c>
      <c r="E167" s="18" t="n">
        <v>30</v>
      </c>
      <c r="F167" s="18" t="n">
        <f aca="false">E167*0.5144</f>
        <v>15.432</v>
      </c>
      <c r="G167" s="22" t="e">
        <f aca="false">arclethnm(C166,D166,C167,D167)/6</f>
        <v>#NAME?</v>
      </c>
      <c r="H167" s="22" t="e">
        <f aca="false">G167*0.5144</f>
        <v>#NAME?</v>
      </c>
      <c r="I167" s="18" t="n">
        <v>0</v>
      </c>
    </row>
    <row r="168" customFormat="false" ht="12.75" hidden="false" customHeight="false" outlineLevel="0" collapsed="false">
      <c r="A168" s="18" t="n">
        <f aca="false">A167+0.25</f>
        <v>6.75</v>
      </c>
      <c r="B168" s="18" t="n">
        <f aca="false">B167+0.25</f>
        <v>6.75</v>
      </c>
      <c r="C168" s="18" t="n">
        <v>36</v>
      </c>
      <c r="D168" s="18" t="n">
        <v>-90.5</v>
      </c>
      <c r="E168" s="18" t="n">
        <v>30</v>
      </c>
      <c r="F168" s="18" t="n">
        <f aca="false">E168*0.5144</f>
        <v>15.432</v>
      </c>
      <c r="G168" s="22" t="e">
        <f aca="false">arclethnm(C167,D167,C168,D168)/6</f>
        <v>#NAME?</v>
      </c>
      <c r="H168" s="22" t="e">
        <f aca="false">G168*0.5144</f>
        <v>#NAME?</v>
      </c>
      <c r="I168" s="18" t="n">
        <v>0</v>
      </c>
    </row>
    <row r="169" customFormat="false" ht="12.75" hidden="false" customHeight="false" outlineLevel="0" collapsed="false">
      <c r="A169" s="18" t="n">
        <f aca="false">A168+0.25</f>
        <v>7</v>
      </c>
      <c r="B169" s="18" t="n">
        <f aca="false">B168+0.25</f>
        <v>7</v>
      </c>
      <c r="C169" s="18" t="n">
        <v>36.8</v>
      </c>
      <c r="D169" s="18" t="n">
        <v>-88.6</v>
      </c>
      <c r="E169" s="18" t="n">
        <v>30</v>
      </c>
      <c r="F169" s="18" t="n">
        <f aca="false">E169*0.5144</f>
        <v>15.432</v>
      </c>
      <c r="G169" s="22" t="e">
        <f aca="false">arclethnm(C168,D168,C169,D169)/6</f>
        <v>#NAME?</v>
      </c>
      <c r="H169" s="22" t="e">
        <f aca="false">G169*0.5144</f>
        <v>#NAME?</v>
      </c>
      <c r="I169" s="18" t="n">
        <v>0</v>
      </c>
    </row>
    <row r="170" customFormat="false" ht="12.75" hidden="false" customHeight="false" outlineLevel="0" collapsed="false">
      <c r="A170" s="0"/>
      <c r="B170" s="0"/>
      <c r="C170" s="0"/>
      <c r="D170" s="0"/>
      <c r="E170" s="0"/>
      <c r="F170" s="0"/>
      <c r="G170" s="22"/>
      <c r="H170" s="22"/>
      <c r="I170" s="0"/>
    </row>
    <row r="171" customFormat="false" ht="12.75" hidden="false" customHeight="false" outlineLevel="0" collapsed="false">
      <c r="A171" s="0"/>
      <c r="B171" s="0"/>
      <c r="C171" s="0"/>
      <c r="D171" s="0"/>
      <c r="E171" s="0"/>
      <c r="F171" s="0"/>
      <c r="G171" s="22"/>
      <c r="H171" s="22"/>
      <c r="I171" s="0"/>
    </row>
    <row r="172" customFormat="false" ht="12.75" hidden="false" customHeight="false" outlineLevel="0" collapsed="false">
      <c r="A172" s="0"/>
      <c r="B172" s="20" t="n">
        <v>1880</v>
      </c>
      <c r="C172" s="20" t="s">
        <v>18</v>
      </c>
      <c r="D172" s="20" t="s">
        <v>72</v>
      </c>
      <c r="E172" s="0"/>
      <c r="F172" s="0"/>
      <c r="G172" s="22"/>
      <c r="H172" s="22"/>
      <c r="I172" s="0"/>
    </row>
    <row r="173" customFormat="false" ht="12.75" hidden="false" customHeight="false" outlineLevel="0" collapsed="false">
      <c r="A173" s="0"/>
      <c r="B173" s="0"/>
      <c r="C173" s="0"/>
      <c r="D173" s="0"/>
      <c r="E173" s="0"/>
      <c r="F173" s="0"/>
      <c r="G173" s="22"/>
      <c r="H173" s="22"/>
      <c r="I173" s="0"/>
    </row>
    <row r="174" customFormat="false" ht="12.75" hidden="false" customHeight="false" outlineLevel="0" collapsed="false">
      <c r="A174" s="18" t="n">
        <v>1</v>
      </c>
      <c r="B174" s="18" t="n">
        <v>1</v>
      </c>
      <c r="C174" s="18" t="n">
        <v>16</v>
      </c>
      <c r="D174" s="18" t="n">
        <v>-59.8</v>
      </c>
      <c r="E174" s="18" t="n">
        <v>40</v>
      </c>
      <c r="F174" s="18" t="n">
        <f aca="false">E174*0.5144</f>
        <v>20.576</v>
      </c>
      <c r="G174" s="22"/>
      <c r="H174" s="22"/>
      <c r="I174" s="18" t="n">
        <v>0</v>
      </c>
    </row>
    <row r="175" customFormat="false" ht="12.75" hidden="false" customHeight="false" outlineLevel="0" collapsed="false">
      <c r="A175" s="18" t="n">
        <f aca="false">A174+0.25</f>
        <v>1.25</v>
      </c>
      <c r="B175" s="18" t="n">
        <f aca="false">B174+0.25</f>
        <v>1.25</v>
      </c>
      <c r="C175" s="18" t="n">
        <v>15.9</v>
      </c>
      <c r="D175" s="18" t="n">
        <v>-61.8</v>
      </c>
      <c r="E175" s="18" t="n">
        <v>40</v>
      </c>
      <c r="F175" s="18" t="n">
        <f aca="false">E175*0.5144</f>
        <v>20.576</v>
      </c>
      <c r="G175" s="22" t="e">
        <f aca="false">arclethnm(C174,D174,C175,D175)/6</f>
        <v>#NAME?</v>
      </c>
      <c r="H175" s="22" t="e">
        <f aca="false">G175*0.5144</f>
        <v>#NAME?</v>
      </c>
      <c r="I175" s="18" t="n">
        <v>0</v>
      </c>
    </row>
    <row r="176" customFormat="false" ht="12.75" hidden="false" customHeight="false" outlineLevel="0" collapsed="false">
      <c r="A176" s="18" t="n">
        <f aca="false">A175+0.25</f>
        <v>1.5</v>
      </c>
      <c r="B176" s="18" t="n">
        <f aca="false">B175+0.25</f>
        <v>1.5</v>
      </c>
      <c r="C176" s="18" t="n">
        <v>16</v>
      </c>
      <c r="D176" s="18" t="n">
        <v>-64</v>
      </c>
      <c r="E176" s="18" t="n">
        <v>40</v>
      </c>
      <c r="F176" s="18" t="n">
        <f aca="false">E176*0.5144</f>
        <v>20.576</v>
      </c>
      <c r="G176" s="22" t="e">
        <f aca="false">arclethnm(C175,D175,C176,D176)/6</f>
        <v>#NAME?</v>
      </c>
      <c r="H176" s="22" t="e">
        <f aca="false">G176*0.5144</f>
        <v>#NAME?</v>
      </c>
      <c r="I176" s="18" t="n">
        <v>0</v>
      </c>
    </row>
    <row r="177" customFormat="false" ht="12.75" hidden="false" customHeight="false" outlineLevel="0" collapsed="false">
      <c r="A177" s="18" t="n">
        <f aca="false">A176+0.25</f>
        <v>1.75</v>
      </c>
      <c r="B177" s="18" t="n">
        <f aca="false">B176+0.25</f>
        <v>1.75</v>
      </c>
      <c r="C177" s="18" t="n">
        <v>16.1</v>
      </c>
      <c r="D177" s="18" t="n">
        <v>-65.5</v>
      </c>
      <c r="E177" s="18" t="n">
        <v>40</v>
      </c>
      <c r="F177" s="18" t="n">
        <f aca="false">E177*0.5144</f>
        <v>20.576</v>
      </c>
      <c r="G177" s="22" t="e">
        <f aca="false">arclethnm(C176,D176,C177,D177)/6</f>
        <v>#NAME?</v>
      </c>
      <c r="H177" s="22" t="e">
        <f aca="false">G177*0.5144</f>
        <v>#NAME?</v>
      </c>
      <c r="I177" s="18" t="n">
        <v>0</v>
      </c>
    </row>
    <row r="178" customFormat="false" ht="12.75" hidden="false" customHeight="false" outlineLevel="0" collapsed="false">
      <c r="A178" s="18" t="n">
        <f aca="false">A177+0.25</f>
        <v>2</v>
      </c>
      <c r="B178" s="18" t="n">
        <f aca="false">B177+0.25</f>
        <v>2</v>
      </c>
      <c r="C178" s="18" t="n">
        <v>16.2</v>
      </c>
      <c r="D178" s="18" t="n">
        <v>-67</v>
      </c>
      <c r="E178" s="18" t="n">
        <v>50</v>
      </c>
      <c r="F178" s="18" t="n">
        <f aca="false">E178*0.5144</f>
        <v>25.72</v>
      </c>
      <c r="G178" s="22" t="e">
        <f aca="false">arclethnm(C177,D177,C178,D178)/6</f>
        <v>#NAME?</v>
      </c>
      <c r="H178" s="22" t="e">
        <f aca="false">G178*0.5144</f>
        <v>#NAME?</v>
      </c>
      <c r="I178" s="18" t="n">
        <v>0</v>
      </c>
    </row>
    <row r="179" customFormat="false" ht="12.75" hidden="false" customHeight="false" outlineLevel="0" collapsed="false">
      <c r="A179" s="18" t="n">
        <f aca="false">A178+0.25</f>
        <v>2.25</v>
      </c>
      <c r="B179" s="18" t="n">
        <f aca="false">B178+0.25</f>
        <v>2.25</v>
      </c>
      <c r="C179" s="18" t="n">
        <v>16.2</v>
      </c>
      <c r="D179" s="18" t="n">
        <v>-68.4</v>
      </c>
      <c r="E179" s="18" t="n">
        <v>50</v>
      </c>
      <c r="F179" s="18" t="n">
        <f aca="false">E179*0.5144</f>
        <v>25.72</v>
      </c>
      <c r="G179" s="22" t="e">
        <f aca="false">arclethnm(C178,D178,C179,D179)/6</f>
        <v>#NAME?</v>
      </c>
      <c r="H179" s="22" t="e">
        <f aca="false">G179*0.5144</f>
        <v>#NAME?</v>
      </c>
      <c r="I179" s="18" t="n">
        <v>0</v>
      </c>
    </row>
    <row r="180" customFormat="false" ht="12.75" hidden="false" customHeight="false" outlineLevel="0" collapsed="false">
      <c r="A180" s="18" t="n">
        <f aca="false">A179+0.25</f>
        <v>2.5</v>
      </c>
      <c r="B180" s="18" t="n">
        <f aca="false">B179+0.25</f>
        <v>2.5</v>
      </c>
      <c r="C180" s="18" t="n">
        <v>16.5</v>
      </c>
      <c r="D180" s="18" t="n">
        <v>-69.8</v>
      </c>
      <c r="E180" s="18" t="n">
        <v>50</v>
      </c>
      <c r="F180" s="18" t="n">
        <f aca="false">E180*0.5144</f>
        <v>25.72</v>
      </c>
      <c r="G180" s="22" t="e">
        <f aca="false">arclethnm(C179,D179,C180,D180)/6</f>
        <v>#NAME?</v>
      </c>
      <c r="H180" s="22" t="e">
        <f aca="false">G180*0.5144</f>
        <v>#NAME?</v>
      </c>
      <c r="I180" s="18" t="n">
        <v>0</v>
      </c>
    </row>
    <row r="181" customFormat="false" ht="12.75" hidden="false" customHeight="false" outlineLevel="0" collapsed="false">
      <c r="A181" s="18" t="n">
        <f aca="false">A180+0.25</f>
        <v>2.75</v>
      </c>
      <c r="B181" s="18" t="n">
        <f aca="false">B180+0.25</f>
        <v>2.75</v>
      </c>
      <c r="C181" s="18" t="n">
        <v>16.6</v>
      </c>
      <c r="D181" s="18" t="n">
        <v>-71.1</v>
      </c>
      <c r="E181" s="18" t="n">
        <v>50</v>
      </c>
      <c r="F181" s="18" t="n">
        <f aca="false">E181*0.5144</f>
        <v>25.72</v>
      </c>
      <c r="G181" s="22" t="e">
        <f aca="false">arclethnm(C180,D180,C181,D181)/6</f>
        <v>#NAME?</v>
      </c>
      <c r="H181" s="22" t="e">
        <f aca="false">G181*0.5144</f>
        <v>#NAME?</v>
      </c>
      <c r="I181" s="18" t="n">
        <v>0</v>
      </c>
    </row>
    <row r="182" customFormat="false" ht="12.75" hidden="false" customHeight="false" outlineLevel="0" collapsed="false">
      <c r="A182" s="18" t="n">
        <f aca="false">A181+0.25</f>
        <v>3</v>
      </c>
      <c r="B182" s="18" t="n">
        <f aca="false">B181+0.25</f>
        <v>3</v>
      </c>
      <c r="C182" s="18" t="n">
        <v>16.7</v>
      </c>
      <c r="D182" s="18" t="n">
        <v>-72.5</v>
      </c>
      <c r="E182" s="18" t="n">
        <v>60</v>
      </c>
      <c r="F182" s="18" t="n">
        <f aca="false">E182*0.5144</f>
        <v>30.864</v>
      </c>
      <c r="G182" s="22" t="e">
        <f aca="false">arclethnm(C181,D181,C182,D182)/6</f>
        <v>#NAME?</v>
      </c>
      <c r="H182" s="22" t="e">
        <f aca="false">G182*0.5144</f>
        <v>#NAME?</v>
      </c>
      <c r="I182" s="18" t="n">
        <v>0</v>
      </c>
    </row>
    <row r="183" customFormat="false" ht="12.75" hidden="false" customHeight="false" outlineLevel="0" collapsed="false">
      <c r="A183" s="18" t="n">
        <f aca="false">A182+0.25</f>
        <v>3.25</v>
      </c>
      <c r="B183" s="18" t="n">
        <f aca="false">B182+0.25</f>
        <v>3.25</v>
      </c>
      <c r="C183" s="18" t="n">
        <v>16.7</v>
      </c>
      <c r="D183" s="18" t="n">
        <v>-73.8</v>
      </c>
      <c r="E183" s="18" t="n">
        <v>60</v>
      </c>
      <c r="F183" s="18" t="n">
        <f aca="false">E183*0.5144</f>
        <v>30.864</v>
      </c>
      <c r="G183" s="22" t="e">
        <f aca="false">arclethnm(C182,D182,C183,D183)/6</f>
        <v>#NAME?</v>
      </c>
      <c r="H183" s="22" t="e">
        <f aca="false">G183*0.5144</f>
        <v>#NAME?</v>
      </c>
      <c r="I183" s="18" t="n">
        <v>0</v>
      </c>
    </row>
    <row r="184" customFormat="false" ht="12.75" hidden="false" customHeight="false" outlineLevel="0" collapsed="false">
      <c r="A184" s="18" t="n">
        <f aca="false">A183+0.25</f>
        <v>3.5</v>
      </c>
      <c r="B184" s="18" t="n">
        <f aca="false">B183+0.25</f>
        <v>3.5</v>
      </c>
      <c r="C184" s="18" t="n">
        <v>17</v>
      </c>
      <c r="D184" s="18" t="n">
        <v>-75.1</v>
      </c>
      <c r="E184" s="18" t="n">
        <v>70</v>
      </c>
      <c r="F184" s="18" t="n">
        <f aca="false">E184*0.5144</f>
        <v>36.008</v>
      </c>
      <c r="G184" s="22" t="e">
        <f aca="false">arclethnm(C183,D183,C184,D184)/6</f>
        <v>#NAME?</v>
      </c>
      <c r="H184" s="22" t="e">
        <f aca="false">G184*0.5144</f>
        <v>#NAME?</v>
      </c>
      <c r="I184" s="18" t="n">
        <v>0</v>
      </c>
    </row>
    <row r="185" customFormat="false" ht="12.75" hidden="false" customHeight="false" outlineLevel="0" collapsed="false">
      <c r="A185" s="18" t="n">
        <f aca="false">A184+0.25</f>
        <v>3.75</v>
      </c>
      <c r="B185" s="18" t="n">
        <f aca="false">B184+0.25</f>
        <v>3.75</v>
      </c>
      <c r="C185" s="18" t="n">
        <v>17.1</v>
      </c>
      <c r="D185" s="18" t="n">
        <v>-76.3</v>
      </c>
      <c r="E185" s="18" t="n">
        <v>70</v>
      </c>
      <c r="F185" s="18" t="n">
        <f aca="false">E185*0.5144</f>
        <v>36.008</v>
      </c>
      <c r="G185" s="22" t="e">
        <f aca="false">arclethnm(C184,D184,C185,D185)/6</f>
        <v>#NAME?</v>
      </c>
      <c r="H185" s="22" t="e">
        <f aca="false">G185*0.5144</f>
        <v>#NAME?</v>
      </c>
      <c r="I185" s="18" t="n">
        <v>0</v>
      </c>
    </row>
    <row r="186" customFormat="false" ht="12.75" hidden="false" customHeight="false" outlineLevel="0" collapsed="false">
      <c r="A186" s="18" t="n">
        <f aca="false">A185+0.25</f>
        <v>4</v>
      </c>
      <c r="B186" s="18" t="n">
        <f aca="false">B185+0.25</f>
        <v>4</v>
      </c>
      <c r="C186" s="18" t="n">
        <v>17.2</v>
      </c>
      <c r="D186" s="18" t="n">
        <v>-77.5</v>
      </c>
      <c r="E186" s="18" t="n">
        <v>80</v>
      </c>
      <c r="F186" s="18" t="n">
        <f aca="false">E186*0.5144</f>
        <v>41.152</v>
      </c>
      <c r="G186" s="22" t="e">
        <f aca="false">arclethnm(C185,D185,C186,D186)/6</f>
        <v>#NAME?</v>
      </c>
      <c r="H186" s="22" t="e">
        <f aca="false">G186*0.5144</f>
        <v>#NAME?</v>
      </c>
      <c r="I186" s="18" t="n">
        <v>0</v>
      </c>
    </row>
    <row r="187" customFormat="false" ht="12.75" hidden="false" customHeight="false" outlineLevel="0" collapsed="false">
      <c r="A187" s="18" t="n">
        <f aca="false">A186+0.25</f>
        <v>4.25</v>
      </c>
      <c r="B187" s="18" t="n">
        <f aca="false">B186+0.25</f>
        <v>4.25</v>
      </c>
      <c r="C187" s="18" t="n">
        <v>17.5</v>
      </c>
      <c r="D187" s="18" t="n">
        <v>-78.6</v>
      </c>
      <c r="E187" s="18" t="n">
        <v>80</v>
      </c>
      <c r="F187" s="18" t="n">
        <f aca="false">E187*0.5144</f>
        <v>41.152</v>
      </c>
      <c r="G187" s="22" t="e">
        <f aca="false">arclethnm(C186,D186,C187,D187)/6</f>
        <v>#NAME?</v>
      </c>
      <c r="H187" s="22" t="e">
        <f aca="false">G187*0.5144</f>
        <v>#NAME?</v>
      </c>
      <c r="I187" s="18" t="n">
        <v>0</v>
      </c>
    </row>
    <row r="188" customFormat="false" ht="12.75" hidden="false" customHeight="false" outlineLevel="0" collapsed="false">
      <c r="A188" s="18" t="n">
        <f aca="false">A187+0.25</f>
        <v>4.5</v>
      </c>
      <c r="B188" s="18" t="n">
        <f aca="false">B187+0.25</f>
        <v>4.5</v>
      </c>
      <c r="C188" s="18" t="n">
        <v>17.7</v>
      </c>
      <c r="D188" s="18" t="n">
        <v>-80</v>
      </c>
      <c r="E188" s="18" t="n">
        <v>90</v>
      </c>
      <c r="F188" s="18" t="n">
        <f aca="false">E188*0.5144</f>
        <v>46.296</v>
      </c>
      <c r="G188" s="22" t="e">
        <f aca="false">arclethnm(C187,D187,C188,D188)/6</f>
        <v>#NAME?</v>
      </c>
      <c r="H188" s="22" t="e">
        <f aca="false">G188*0.5144</f>
        <v>#NAME?</v>
      </c>
      <c r="I188" s="18" t="n">
        <v>0</v>
      </c>
    </row>
    <row r="189" customFormat="false" ht="12.75" hidden="false" customHeight="false" outlineLevel="0" collapsed="false">
      <c r="A189" s="18" t="n">
        <f aca="false">A188+0.25</f>
        <v>4.75</v>
      </c>
      <c r="B189" s="18" t="n">
        <f aca="false">B188+0.25</f>
        <v>4.75</v>
      </c>
      <c r="C189" s="18" t="n">
        <v>18.1</v>
      </c>
      <c r="D189" s="18" t="n">
        <v>-81.1</v>
      </c>
      <c r="E189" s="18" t="n">
        <v>90</v>
      </c>
      <c r="F189" s="18" t="n">
        <f aca="false">E189*0.5144</f>
        <v>46.296</v>
      </c>
      <c r="G189" s="22" t="e">
        <f aca="false">arclethnm(C188,D188,C189,D189)/6</f>
        <v>#NAME?</v>
      </c>
      <c r="H189" s="22" t="e">
        <f aca="false">G189*0.5144</f>
        <v>#NAME?</v>
      </c>
      <c r="I189" s="18" t="n">
        <v>0</v>
      </c>
    </row>
    <row r="190" customFormat="false" ht="12.75" hidden="false" customHeight="false" outlineLevel="0" collapsed="false">
      <c r="A190" s="18" t="n">
        <f aca="false">A189+0.25</f>
        <v>5</v>
      </c>
      <c r="B190" s="18" t="n">
        <f aca="false">B189+0.25</f>
        <v>5</v>
      </c>
      <c r="C190" s="18" t="n">
        <v>18.5</v>
      </c>
      <c r="D190" s="18" t="n">
        <v>-82.1</v>
      </c>
      <c r="E190" s="18" t="n">
        <v>90</v>
      </c>
      <c r="F190" s="18" t="n">
        <f aca="false">E190*0.5144</f>
        <v>46.296</v>
      </c>
      <c r="G190" s="22" t="e">
        <f aca="false">arclethnm(C189,D189,C190,D190)/6</f>
        <v>#NAME?</v>
      </c>
      <c r="H190" s="22" t="e">
        <f aca="false">G190*0.5144</f>
        <v>#NAME?</v>
      </c>
      <c r="I190" s="18" t="n">
        <v>0</v>
      </c>
    </row>
    <row r="191" customFormat="false" ht="12.75" hidden="false" customHeight="false" outlineLevel="0" collapsed="false">
      <c r="A191" s="18" t="n">
        <f aca="false">A190+0.25</f>
        <v>5.25</v>
      </c>
      <c r="B191" s="18" t="n">
        <f aca="false">B190+0.25</f>
        <v>5.25</v>
      </c>
      <c r="C191" s="18" t="n">
        <v>18.9</v>
      </c>
      <c r="D191" s="18" t="n">
        <v>-83.1</v>
      </c>
      <c r="E191" s="18" t="n">
        <v>90</v>
      </c>
      <c r="F191" s="18" t="n">
        <f aca="false">E191*0.5144</f>
        <v>46.296</v>
      </c>
      <c r="G191" s="22" t="e">
        <f aca="false">arclethnm(C190,D190,C191,D191)/6</f>
        <v>#NAME?</v>
      </c>
      <c r="H191" s="22" t="e">
        <f aca="false">G191*0.5144</f>
        <v>#NAME?</v>
      </c>
      <c r="I191" s="18" t="n">
        <v>0</v>
      </c>
    </row>
    <row r="192" customFormat="false" ht="12.75" hidden="false" customHeight="false" outlineLevel="0" collapsed="false">
      <c r="A192" s="18" t="n">
        <f aca="false">A191+0.25</f>
        <v>5.5</v>
      </c>
      <c r="B192" s="18" t="n">
        <f aca="false">B191+0.25</f>
        <v>5.5</v>
      </c>
      <c r="C192" s="18" t="n">
        <v>19.2</v>
      </c>
      <c r="D192" s="18" t="n">
        <v>-84</v>
      </c>
      <c r="E192" s="18" t="n">
        <v>90</v>
      </c>
      <c r="F192" s="18" t="n">
        <f aca="false">E192*0.5144</f>
        <v>46.296</v>
      </c>
      <c r="G192" s="22" t="e">
        <f aca="false">arclethnm(C191,D191,C192,D192)/6</f>
        <v>#NAME?</v>
      </c>
      <c r="H192" s="22" t="e">
        <f aca="false">G192*0.5144</f>
        <v>#NAME?</v>
      </c>
      <c r="I192" s="18" t="n">
        <v>0</v>
      </c>
    </row>
    <row r="193" customFormat="false" ht="12.75" hidden="false" customHeight="false" outlineLevel="0" collapsed="false">
      <c r="A193" s="18" t="n">
        <f aca="false">A192+0.25</f>
        <v>5.75</v>
      </c>
      <c r="B193" s="18" t="n">
        <f aca="false">B192+0.25</f>
        <v>5.75</v>
      </c>
      <c r="C193" s="18" t="n">
        <v>19.6</v>
      </c>
      <c r="D193" s="18" t="n">
        <v>-84.6</v>
      </c>
      <c r="E193" s="18" t="n">
        <v>90</v>
      </c>
      <c r="F193" s="18" t="n">
        <f aca="false">E193*0.5144</f>
        <v>46.296</v>
      </c>
      <c r="G193" s="22" t="e">
        <f aca="false">arclethnm(C192,D192,C193,D193)/6</f>
        <v>#NAME?</v>
      </c>
      <c r="H193" s="22" t="e">
        <f aca="false">G193*0.5144</f>
        <v>#NAME?</v>
      </c>
      <c r="I193" s="18" t="n">
        <v>0</v>
      </c>
    </row>
    <row r="194" customFormat="false" ht="12.75" hidden="false" customHeight="false" outlineLevel="0" collapsed="false">
      <c r="A194" s="18" t="n">
        <f aca="false">A193+0.25</f>
        <v>6</v>
      </c>
      <c r="B194" s="18" t="n">
        <f aca="false">B193+0.25</f>
        <v>6</v>
      </c>
      <c r="C194" s="18" t="n">
        <v>20</v>
      </c>
      <c r="D194" s="18" t="n">
        <v>-85.3</v>
      </c>
      <c r="E194" s="18" t="n">
        <v>90</v>
      </c>
      <c r="F194" s="18" t="n">
        <f aca="false">E194*0.5144</f>
        <v>46.296</v>
      </c>
      <c r="G194" s="22" t="e">
        <f aca="false">arclethnm(C193,D193,C194,D194)/6</f>
        <v>#NAME?</v>
      </c>
      <c r="H194" s="22" t="e">
        <f aca="false">G194*0.5144</f>
        <v>#NAME?</v>
      </c>
      <c r="I194" s="18" t="n">
        <v>0</v>
      </c>
    </row>
    <row r="195" customFormat="false" ht="12.75" hidden="false" customHeight="false" outlineLevel="0" collapsed="false">
      <c r="A195" s="18" t="n">
        <f aca="false">A194+0.25</f>
        <v>6.25</v>
      </c>
      <c r="B195" s="18" t="n">
        <f aca="false">B194+0.25</f>
        <v>6.25</v>
      </c>
      <c r="C195" s="18" t="n">
        <v>20.4</v>
      </c>
      <c r="D195" s="18" t="n">
        <v>-86</v>
      </c>
      <c r="E195" s="18" t="n">
        <v>90</v>
      </c>
      <c r="F195" s="18" t="n">
        <f aca="false">E195*0.5144</f>
        <v>46.296</v>
      </c>
      <c r="G195" s="22" t="e">
        <f aca="false">arclethnm(C194,D194,C195,D195)/6</f>
        <v>#NAME?</v>
      </c>
      <c r="H195" s="22" t="e">
        <f aca="false">G195*0.5144</f>
        <v>#NAME?</v>
      </c>
      <c r="I195" s="18" t="n">
        <v>0</v>
      </c>
    </row>
    <row r="196" customFormat="false" ht="12.75" hidden="false" customHeight="false" outlineLevel="0" collapsed="false">
      <c r="A196" s="18" t="n">
        <f aca="false">A195+0.25</f>
        <v>6.5</v>
      </c>
      <c r="B196" s="18" t="n">
        <f aca="false">B195+0.25</f>
        <v>6.5</v>
      </c>
      <c r="C196" s="18" t="n">
        <v>20.7</v>
      </c>
      <c r="D196" s="18" t="n">
        <v>-86.7</v>
      </c>
      <c r="E196" s="18" t="n">
        <v>90</v>
      </c>
      <c r="F196" s="18" t="n">
        <f aca="false">E196*0.5144</f>
        <v>46.296</v>
      </c>
      <c r="G196" s="22" t="e">
        <f aca="false">arclethnm(C195,D195,C196,D196)/6</f>
        <v>#NAME?</v>
      </c>
      <c r="H196" s="22" t="e">
        <f aca="false">G196*0.5144</f>
        <v>#NAME?</v>
      </c>
      <c r="I196" s="18" t="n">
        <v>0</v>
      </c>
    </row>
    <row r="197" customFormat="false" ht="12.75" hidden="false" customHeight="false" outlineLevel="0" collapsed="false">
      <c r="A197" s="18" t="n">
        <f aca="false">A196+0.25</f>
        <v>6.75</v>
      </c>
      <c r="B197" s="18" t="n">
        <f aca="false">B196+0.25</f>
        <v>6.75</v>
      </c>
      <c r="C197" s="18" t="n">
        <v>21</v>
      </c>
      <c r="D197" s="18" t="n">
        <v>-87.4</v>
      </c>
      <c r="E197" s="18" t="n">
        <v>70</v>
      </c>
      <c r="F197" s="18" t="n">
        <f aca="false">E197*0.5144</f>
        <v>36.008</v>
      </c>
      <c r="G197" s="22" t="e">
        <f aca="false">arclethnm(C196,D196,C197,D197)/6</f>
        <v>#NAME?</v>
      </c>
      <c r="H197" s="22" t="e">
        <f aca="false">G197*0.5144</f>
        <v>#NAME?</v>
      </c>
      <c r="I197" s="18" t="n">
        <v>0</v>
      </c>
    </row>
    <row r="198" customFormat="false" ht="12.75" hidden="false" customHeight="false" outlineLevel="0" collapsed="false">
      <c r="A198" s="18" t="n">
        <f aca="false">A197+0.25</f>
        <v>7</v>
      </c>
      <c r="B198" s="18" t="n">
        <f aca="false">B197+0.25</f>
        <v>7</v>
      </c>
      <c r="C198" s="18" t="n">
        <v>21.3</v>
      </c>
      <c r="D198" s="18" t="n">
        <v>-88.1</v>
      </c>
      <c r="E198" s="18" t="n">
        <v>60</v>
      </c>
      <c r="F198" s="18" t="n">
        <f aca="false">E198*0.5144</f>
        <v>30.864</v>
      </c>
      <c r="G198" s="22" t="e">
        <f aca="false">arclethnm(C197,D197,C198,D198)/6</f>
        <v>#NAME?</v>
      </c>
      <c r="H198" s="22" t="e">
        <f aca="false">G198*0.5144</f>
        <v>#NAME?</v>
      </c>
      <c r="I198" s="18" t="n">
        <v>0</v>
      </c>
    </row>
    <row r="199" customFormat="false" ht="12.75" hidden="false" customHeight="false" outlineLevel="0" collapsed="false">
      <c r="A199" s="18" t="n">
        <f aca="false">A198+0.25</f>
        <v>7.25</v>
      </c>
      <c r="B199" s="18" t="n">
        <f aca="false">B198+0.25</f>
        <v>7.25</v>
      </c>
      <c r="C199" s="18" t="n">
        <v>21.6</v>
      </c>
      <c r="D199" s="18" t="n">
        <v>-88.9</v>
      </c>
      <c r="E199" s="18" t="n">
        <v>50</v>
      </c>
      <c r="F199" s="18" t="n">
        <f aca="false">E199*0.5144</f>
        <v>25.72</v>
      </c>
      <c r="G199" s="22" t="e">
        <f aca="false">arclethnm(C198,D198,C199,D199)/6</f>
        <v>#NAME?</v>
      </c>
      <c r="H199" s="22" t="e">
        <f aca="false">G199*0.5144</f>
        <v>#NAME?</v>
      </c>
      <c r="I199" s="18" t="n">
        <v>0</v>
      </c>
    </row>
    <row r="200" customFormat="false" ht="12.75" hidden="false" customHeight="false" outlineLevel="0" collapsed="false">
      <c r="A200" s="18" t="n">
        <f aca="false">A199+0.25</f>
        <v>7.5</v>
      </c>
      <c r="B200" s="18" t="n">
        <f aca="false">B199+0.25</f>
        <v>7.5</v>
      </c>
      <c r="C200" s="18" t="n">
        <v>22</v>
      </c>
      <c r="D200" s="18" t="n">
        <v>-89.6</v>
      </c>
      <c r="E200" s="18" t="n">
        <v>60</v>
      </c>
      <c r="F200" s="18" t="n">
        <f aca="false">E200*0.5144</f>
        <v>30.864</v>
      </c>
      <c r="G200" s="22" t="e">
        <f aca="false">arclethnm(C199,D199,C200,D200)/6</f>
        <v>#NAME?</v>
      </c>
      <c r="H200" s="22" t="e">
        <f aca="false">G200*0.5144</f>
        <v>#NAME?</v>
      </c>
      <c r="I200" s="18" t="n">
        <v>0</v>
      </c>
    </row>
    <row r="201" customFormat="false" ht="12.75" hidden="false" customHeight="false" outlineLevel="0" collapsed="false">
      <c r="A201" s="18" t="n">
        <f aca="false">A200+0.25</f>
        <v>7.75</v>
      </c>
      <c r="B201" s="18" t="n">
        <f aca="false">B200+0.25</f>
        <v>7.75</v>
      </c>
      <c r="C201" s="18" t="n">
        <v>22.3</v>
      </c>
      <c r="D201" s="18" t="n">
        <v>-90.4</v>
      </c>
      <c r="E201" s="18" t="n">
        <v>60</v>
      </c>
      <c r="F201" s="18" t="n">
        <f aca="false">E201*0.5144</f>
        <v>30.864</v>
      </c>
      <c r="G201" s="22" t="e">
        <f aca="false">arclethnm(C200,D200,C201,D201)/6</f>
        <v>#NAME?</v>
      </c>
      <c r="H201" s="22" t="e">
        <f aca="false">G201*0.5144</f>
        <v>#NAME?</v>
      </c>
      <c r="I201" s="18" t="n">
        <v>0</v>
      </c>
    </row>
    <row r="202" customFormat="false" ht="12.75" hidden="false" customHeight="false" outlineLevel="0" collapsed="false">
      <c r="A202" s="18" t="n">
        <f aca="false">A201+0.25</f>
        <v>8</v>
      </c>
      <c r="B202" s="18" t="n">
        <f aca="false">B201+0.25</f>
        <v>8</v>
      </c>
      <c r="C202" s="18" t="n">
        <v>22.6</v>
      </c>
      <c r="D202" s="18" t="n">
        <v>-91.1</v>
      </c>
      <c r="E202" s="18" t="n">
        <v>70</v>
      </c>
      <c r="F202" s="18" t="n">
        <f aca="false">E202*0.5144</f>
        <v>36.008</v>
      </c>
      <c r="G202" s="22" t="e">
        <f aca="false">arclethnm(C201,D201,C202,D202)/6</f>
        <v>#NAME?</v>
      </c>
      <c r="H202" s="22" t="e">
        <f aca="false">G202*0.5144</f>
        <v>#NAME?</v>
      </c>
      <c r="I202" s="18" t="n">
        <v>0</v>
      </c>
    </row>
    <row r="203" customFormat="false" ht="12.75" hidden="false" customHeight="false" outlineLevel="0" collapsed="false">
      <c r="A203" s="18" t="n">
        <f aca="false">A202+0.25</f>
        <v>8.25</v>
      </c>
      <c r="B203" s="18" t="n">
        <f aca="false">B202+0.25</f>
        <v>8.25</v>
      </c>
      <c r="C203" s="18" t="n">
        <v>23</v>
      </c>
      <c r="D203" s="18" t="n">
        <v>-91.9</v>
      </c>
      <c r="E203" s="18" t="n">
        <v>70</v>
      </c>
      <c r="F203" s="18" t="n">
        <f aca="false">E203*0.5144</f>
        <v>36.008</v>
      </c>
      <c r="G203" s="22" t="e">
        <f aca="false">arclethnm(C202,D202,C203,D203)/6</f>
        <v>#NAME?</v>
      </c>
      <c r="H203" s="22" t="e">
        <f aca="false">G203*0.5144</f>
        <v>#NAME?</v>
      </c>
      <c r="I203" s="18" t="n">
        <v>0</v>
      </c>
    </row>
    <row r="204" customFormat="false" ht="12.75" hidden="false" customHeight="false" outlineLevel="0" collapsed="false">
      <c r="A204" s="18" t="n">
        <f aca="false">A203+0.25</f>
        <v>8.5</v>
      </c>
      <c r="B204" s="18" t="n">
        <f aca="false">B203+0.25</f>
        <v>8.5</v>
      </c>
      <c r="C204" s="18" t="n">
        <v>23.4</v>
      </c>
      <c r="D204" s="18" t="n">
        <v>-92.6</v>
      </c>
      <c r="E204" s="18" t="n">
        <v>80</v>
      </c>
      <c r="F204" s="18" t="n">
        <f aca="false">E204*0.5144</f>
        <v>41.152</v>
      </c>
      <c r="G204" s="22" t="e">
        <f aca="false">arclethnm(C203,D203,C204,D204)/6</f>
        <v>#NAME?</v>
      </c>
      <c r="H204" s="22" t="e">
        <f aca="false">G204*0.5144</f>
        <v>#NAME?</v>
      </c>
      <c r="I204" s="18" t="n">
        <v>0</v>
      </c>
    </row>
    <row r="205" customFormat="false" ht="12.75" hidden="false" customHeight="false" outlineLevel="0" collapsed="false">
      <c r="A205" s="18" t="n">
        <f aca="false">A204+0.25</f>
        <v>8.75</v>
      </c>
      <c r="B205" s="18" t="n">
        <f aca="false">B204+0.25</f>
        <v>8.75</v>
      </c>
      <c r="C205" s="18" t="n">
        <v>23.7</v>
      </c>
      <c r="D205" s="18" t="n">
        <v>-93.3</v>
      </c>
      <c r="E205" s="18" t="n">
        <v>80</v>
      </c>
      <c r="F205" s="18" t="n">
        <f aca="false">E205*0.5144</f>
        <v>41.152</v>
      </c>
      <c r="G205" s="22" t="e">
        <f aca="false">arclethnm(C204,D204,C205,D205)/6</f>
        <v>#NAME?</v>
      </c>
      <c r="H205" s="22" t="e">
        <f aca="false">G205*0.5144</f>
        <v>#NAME?</v>
      </c>
      <c r="I205" s="18" t="n">
        <v>0</v>
      </c>
    </row>
    <row r="206" customFormat="false" ht="12.75" hidden="false" customHeight="false" outlineLevel="0" collapsed="false">
      <c r="A206" s="18" t="n">
        <f aca="false">A205+0.25</f>
        <v>9</v>
      </c>
      <c r="B206" s="18" t="n">
        <f aca="false">B205+0.25</f>
        <v>9</v>
      </c>
      <c r="C206" s="18" t="n">
        <v>24</v>
      </c>
      <c r="D206" s="18" t="n">
        <v>-93.8</v>
      </c>
      <c r="E206" s="18" t="n">
        <v>90</v>
      </c>
      <c r="F206" s="18" t="n">
        <f aca="false">E206*0.5144</f>
        <v>46.296</v>
      </c>
      <c r="G206" s="22" t="e">
        <f aca="false">arclethnm(C205,D205,C206,D206)/6</f>
        <v>#NAME?</v>
      </c>
      <c r="H206" s="22" t="e">
        <f aca="false">G206*0.5144</f>
        <v>#NAME?</v>
      </c>
      <c r="I206" s="18" t="n">
        <v>0</v>
      </c>
    </row>
    <row r="207" customFormat="false" ht="12.75" hidden="false" customHeight="false" outlineLevel="0" collapsed="false">
      <c r="A207" s="18" t="n">
        <f aca="false">A206+0.25</f>
        <v>9.25</v>
      </c>
      <c r="B207" s="18" t="n">
        <f aca="false">B206+0.25</f>
        <v>9.25</v>
      </c>
      <c r="C207" s="18" t="n">
        <v>24.3</v>
      </c>
      <c r="D207" s="18" t="n">
        <v>-94.4</v>
      </c>
      <c r="E207" s="18" t="n">
        <v>100</v>
      </c>
      <c r="F207" s="18" t="n">
        <f aca="false">E207*0.5144</f>
        <v>51.44</v>
      </c>
      <c r="G207" s="22" t="e">
        <f aca="false">arclethnm(C206,D206,C207,D207)/6</f>
        <v>#NAME?</v>
      </c>
      <c r="H207" s="22" t="e">
        <f aca="false">G207*0.5144</f>
        <v>#NAME?</v>
      </c>
      <c r="I207" s="18" t="n">
        <v>0</v>
      </c>
    </row>
    <row r="208" customFormat="false" ht="12.75" hidden="false" customHeight="false" outlineLevel="0" collapsed="false">
      <c r="A208" s="18" t="n">
        <f aca="false">A207+0.25</f>
        <v>9.5</v>
      </c>
      <c r="B208" s="18" t="n">
        <f aca="false">B207+0.25</f>
        <v>9.5</v>
      </c>
      <c r="C208" s="18" t="n">
        <v>24.7</v>
      </c>
      <c r="D208" s="18" t="n">
        <v>-95</v>
      </c>
      <c r="E208" s="18" t="n">
        <v>110</v>
      </c>
      <c r="F208" s="18" t="n">
        <f aca="false">E208*0.5144</f>
        <v>56.584</v>
      </c>
      <c r="G208" s="22" t="e">
        <f aca="false">arclethnm(C207,D207,C208,D208)/6</f>
        <v>#NAME?</v>
      </c>
      <c r="H208" s="22" t="e">
        <f aca="false">G208*0.5144</f>
        <v>#NAME?</v>
      </c>
      <c r="I208" s="18" t="n">
        <v>0</v>
      </c>
    </row>
    <row r="209" customFormat="false" ht="12.75" hidden="false" customHeight="false" outlineLevel="0" collapsed="false">
      <c r="A209" s="18" t="n">
        <f aca="false">A208+0.25</f>
        <v>9.75</v>
      </c>
      <c r="B209" s="18" t="n">
        <f aca="false">B208+0.25</f>
        <v>9.75</v>
      </c>
      <c r="C209" s="18" t="n">
        <v>25.2</v>
      </c>
      <c r="D209" s="18" t="n">
        <v>-96</v>
      </c>
      <c r="E209" s="18" t="n">
        <v>120</v>
      </c>
      <c r="F209" s="18" t="n">
        <f aca="false">E209*0.5144</f>
        <v>61.728</v>
      </c>
      <c r="G209" s="22" t="e">
        <f aca="false">arclethnm(C208,D208,C209,D209)/6</f>
        <v>#NAME?</v>
      </c>
      <c r="H209" s="22" t="e">
        <f aca="false">G209*0.5144</f>
        <v>#NAME?</v>
      </c>
      <c r="I209" s="18" t="n">
        <v>0</v>
      </c>
    </row>
    <row r="210" customFormat="false" ht="12.75" hidden="false" customHeight="false" outlineLevel="0" collapsed="false">
      <c r="A210" s="18" t="n">
        <f aca="false">A209+0.25</f>
        <v>10</v>
      </c>
      <c r="B210" s="18" t="n">
        <f aca="false">B209+0.25</f>
        <v>10</v>
      </c>
      <c r="C210" s="18" t="n">
        <v>25.7</v>
      </c>
      <c r="D210" s="18" t="n">
        <v>-96.9</v>
      </c>
      <c r="E210" s="18" t="n">
        <v>130</v>
      </c>
      <c r="F210" s="18" t="n">
        <f aca="false">E210*0.5144</f>
        <v>66.872</v>
      </c>
      <c r="G210" s="22" t="e">
        <f aca="false">arclethnm(C209,D209,C210,D210)/6</f>
        <v>#NAME?</v>
      </c>
      <c r="H210" s="22" t="e">
        <f aca="false">G210*0.5144</f>
        <v>#NAME?</v>
      </c>
      <c r="I210" s="18" t="n">
        <v>931</v>
      </c>
    </row>
    <row r="211" customFormat="false" ht="12.75" hidden="false" customHeight="false" outlineLevel="0" collapsed="false">
      <c r="A211" s="18" t="n">
        <f aca="false">A210+0.25</f>
        <v>10.25</v>
      </c>
      <c r="B211" s="18" t="n">
        <f aca="false">B210+0.25</f>
        <v>10.25</v>
      </c>
      <c r="C211" s="18" t="n">
        <v>26.1</v>
      </c>
      <c r="D211" s="18" t="n">
        <v>-97.6</v>
      </c>
      <c r="E211" s="18" t="n">
        <v>110</v>
      </c>
      <c r="F211" s="18" t="n">
        <f aca="false">E211*0.5144</f>
        <v>56.584</v>
      </c>
      <c r="G211" s="22" t="e">
        <f aca="false">arclethnm(C210,D210,C211,D211)/6</f>
        <v>#NAME?</v>
      </c>
      <c r="H211" s="22" t="e">
        <f aca="false">G211*0.5144</f>
        <v>#NAME?</v>
      </c>
      <c r="I211" s="18" t="n">
        <v>943</v>
      </c>
    </row>
    <row r="212" customFormat="false" ht="12.75" hidden="false" customHeight="false" outlineLevel="0" collapsed="false">
      <c r="A212" s="18" t="n">
        <f aca="false">A211+0.25</f>
        <v>10.5</v>
      </c>
      <c r="B212" s="18" t="n">
        <f aca="false">B211+0.25</f>
        <v>10.5</v>
      </c>
      <c r="C212" s="18" t="n">
        <v>26.5</v>
      </c>
      <c r="D212" s="18" t="n">
        <v>-98.5</v>
      </c>
      <c r="E212" s="18" t="n">
        <v>70</v>
      </c>
      <c r="F212" s="18" t="n">
        <f aca="false">E212*0.5144</f>
        <v>36.008</v>
      </c>
      <c r="G212" s="22" t="e">
        <f aca="false">arclethnm(C211,D211,C212,D212)/6</f>
        <v>#NAME?</v>
      </c>
      <c r="H212" s="22" t="e">
        <f aca="false">G212*0.5144</f>
        <v>#NAME?</v>
      </c>
      <c r="I212" s="18" t="n">
        <v>0</v>
      </c>
    </row>
    <row r="213" customFormat="false" ht="12.75" hidden="false" customHeight="false" outlineLevel="0" collapsed="false">
      <c r="A213" s="18" t="n">
        <f aca="false">A212+0.25</f>
        <v>10.75</v>
      </c>
      <c r="B213" s="18" t="n">
        <f aca="false">B212+0.25</f>
        <v>10.75</v>
      </c>
      <c r="C213" s="18" t="n">
        <v>27.1</v>
      </c>
      <c r="D213" s="18" t="n">
        <v>-99.5</v>
      </c>
      <c r="E213" s="18" t="n">
        <v>60</v>
      </c>
      <c r="F213" s="18" t="n">
        <f aca="false">E213*0.5144</f>
        <v>30.864</v>
      </c>
      <c r="G213" s="22" t="e">
        <f aca="false">arclethnm(C212,D212,C213,D213)/6</f>
        <v>#NAME?</v>
      </c>
      <c r="H213" s="22" t="e">
        <f aca="false">G213*0.5144</f>
        <v>#NAME?</v>
      </c>
      <c r="I213" s="18" t="n">
        <v>0</v>
      </c>
    </row>
    <row r="214" customFormat="false" ht="12.75" hidden="false" customHeight="false" outlineLevel="0" collapsed="false">
      <c r="A214" s="18" t="n">
        <f aca="false">A213+0.25</f>
        <v>11</v>
      </c>
      <c r="B214" s="18" t="n">
        <f aca="false">B213+0.25</f>
        <v>11</v>
      </c>
      <c r="C214" s="18" t="n">
        <v>27.8</v>
      </c>
      <c r="D214" s="18" t="n">
        <v>-100.2</v>
      </c>
      <c r="E214" s="18" t="n">
        <v>50</v>
      </c>
      <c r="F214" s="18" t="n">
        <f aca="false">E214*0.5144</f>
        <v>25.72</v>
      </c>
      <c r="G214" s="22" t="e">
        <f aca="false">arclethnm(C213,D213,C214,D214)/6</f>
        <v>#NAME?</v>
      </c>
      <c r="H214" s="22" t="e">
        <f aca="false">G214*0.5144</f>
        <v>#NAME?</v>
      </c>
      <c r="I214" s="18" t="n">
        <v>0</v>
      </c>
    </row>
    <row r="215" customFormat="false" ht="12.75" hidden="false" customHeight="false" outlineLevel="0" collapsed="false">
      <c r="A215" s="18" t="n">
        <f aca="false">A214+0.25</f>
        <v>11.25</v>
      </c>
      <c r="B215" s="18" t="n">
        <f aca="false">B214+0.25</f>
        <v>11.25</v>
      </c>
      <c r="C215" s="18" t="n">
        <v>28.6</v>
      </c>
      <c r="D215" s="18" t="n">
        <v>-101</v>
      </c>
      <c r="E215" s="18" t="n">
        <v>40</v>
      </c>
      <c r="F215" s="18" t="n">
        <f aca="false">E215*0.5144</f>
        <v>20.576</v>
      </c>
      <c r="G215" s="22" t="e">
        <f aca="false">arclethnm(C214,D214,C215,D215)/6</f>
        <v>#NAME?</v>
      </c>
      <c r="H215" s="22" t="e">
        <f aca="false">G215*0.5144</f>
        <v>#NAME?</v>
      </c>
      <c r="I215" s="18" t="n">
        <v>0</v>
      </c>
    </row>
    <row r="216" customFormat="false" ht="12.75" hidden="false" customHeight="false" outlineLevel="0" collapsed="false">
      <c r="A216" s="18" t="n">
        <f aca="false">A215+0.25</f>
        <v>11.5</v>
      </c>
      <c r="B216" s="18" t="n">
        <f aca="false">B215+0.25</f>
        <v>11.5</v>
      </c>
      <c r="C216" s="18" t="n">
        <v>29.7</v>
      </c>
      <c r="D216" s="18" t="n">
        <v>-101.5</v>
      </c>
      <c r="E216" s="18" t="n">
        <v>30</v>
      </c>
      <c r="F216" s="18" t="n">
        <f aca="false">E216*0.5144</f>
        <v>15.432</v>
      </c>
      <c r="G216" s="22" t="e">
        <f aca="false">arclethnm(C215,D215,C216,D216)/6</f>
        <v>#NAME?</v>
      </c>
      <c r="H216" s="22" t="e">
        <f aca="false">G216*0.5144</f>
        <v>#NAME?</v>
      </c>
      <c r="I216" s="18" t="n">
        <v>0</v>
      </c>
    </row>
    <row r="217" customFormat="false" ht="12.75" hidden="false" customHeight="false" outlineLevel="0" collapsed="false">
      <c r="A217" s="18" t="n">
        <f aca="false">A216+0.25</f>
        <v>11.75</v>
      </c>
      <c r="B217" s="18" t="n">
        <f aca="false">B216+0.25</f>
        <v>11.75</v>
      </c>
      <c r="C217" s="18" t="n">
        <v>31</v>
      </c>
      <c r="D217" s="18" t="n">
        <v>-101</v>
      </c>
      <c r="E217" s="18" t="n">
        <v>30</v>
      </c>
      <c r="F217" s="18" t="n">
        <f aca="false">E217*0.5144</f>
        <v>15.432</v>
      </c>
      <c r="G217" s="22" t="e">
        <f aca="false">arclethnm(C216,D216,C217,D217)/6</f>
        <v>#NAME?</v>
      </c>
      <c r="H217" s="22" t="e">
        <f aca="false">G217*0.5144</f>
        <v>#NAME?</v>
      </c>
      <c r="I217" s="18" t="n">
        <v>0</v>
      </c>
    </row>
    <row r="218" customFormat="false" ht="12.75" hidden="false" customHeight="false" outlineLevel="0" collapsed="false">
      <c r="A218" s="0"/>
      <c r="B218" s="0"/>
      <c r="C218" s="0"/>
      <c r="D218" s="0"/>
      <c r="E218" s="0"/>
      <c r="F218" s="0"/>
      <c r="G218" s="22"/>
      <c r="H218" s="22"/>
      <c r="I218" s="0"/>
    </row>
    <row r="219" customFormat="false" ht="12.75" hidden="false" customHeight="false" outlineLevel="0" collapsed="false">
      <c r="A219" s="0"/>
      <c r="B219" s="0"/>
      <c r="C219" s="0"/>
      <c r="D219" s="0"/>
      <c r="E219" s="0"/>
      <c r="F219" s="0"/>
      <c r="G219" s="22"/>
      <c r="H219" s="22"/>
      <c r="I219" s="0"/>
    </row>
    <row r="220" customFormat="false" ht="12.75" hidden="false" customHeight="false" outlineLevel="0" collapsed="false">
      <c r="A220" s="0"/>
      <c r="B220" s="0"/>
      <c r="C220" s="0"/>
      <c r="D220" s="0"/>
      <c r="E220" s="0"/>
      <c r="F220" s="0"/>
      <c r="G220" s="22"/>
      <c r="H220" s="22"/>
      <c r="I220" s="0"/>
    </row>
    <row r="221" customFormat="false" ht="12.75" hidden="false" customHeight="false" outlineLevel="0" collapsed="false">
      <c r="A221" s="0"/>
      <c r="B221" s="20" t="n">
        <v>1886</v>
      </c>
      <c r="C221" s="20" t="s">
        <v>18</v>
      </c>
      <c r="D221" s="20" t="s">
        <v>73</v>
      </c>
      <c r="E221" s="0"/>
      <c r="F221" s="0"/>
      <c r="G221" s="22"/>
      <c r="H221" s="22"/>
      <c r="I221" s="0"/>
    </row>
    <row r="222" customFormat="false" ht="12.75" hidden="false" customHeight="false" outlineLevel="0" collapsed="false">
      <c r="A222" s="0"/>
      <c r="B222" s="0"/>
      <c r="C222" s="0"/>
      <c r="D222" s="0"/>
      <c r="E222" s="0"/>
      <c r="F222" s="0"/>
      <c r="G222" s="22"/>
      <c r="H222" s="22"/>
      <c r="I222" s="0"/>
    </row>
    <row r="223" customFormat="false" ht="12.75" hidden="false" customHeight="false" outlineLevel="0" collapsed="false">
      <c r="A223" s="18" t="n">
        <f aca="false">B223-0.25</f>
        <v>1</v>
      </c>
      <c r="B223" s="18" t="n">
        <v>1.25</v>
      </c>
      <c r="C223" s="18" t="n">
        <v>23.2</v>
      </c>
      <c r="D223" s="18" t="n">
        <v>-95.7</v>
      </c>
      <c r="E223" s="18" t="n">
        <v>35</v>
      </c>
      <c r="F223" s="18" t="n">
        <f aca="false">E223*0.5144</f>
        <v>18.004</v>
      </c>
      <c r="G223" s="22"/>
      <c r="H223" s="22"/>
      <c r="I223" s="18" t="n">
        <v>0</v>
      </c>
    </row>
    <row r="224" customFormat="false" ht="12.75" hidden="false" customHeight="false" outlineLevel="0" collapsed="false">
      <c r="A224" s="18" t="n">
        <f aca="false">B224-0.25</f>
        <v>1.25</v>
      </c>
      <c r="B224" s="18" t="n">
        <f aca="false">B223+0.25</f>
        <v>1.5</v>
      </c>
      <c r="C224" s="18" t="n">
        <v>24.7</v>
      </c>
      <c r="D224" s="18" t="n">
        <v>-95.9</v>
      </c>
      <c r="E224" s="18" t="n">
        <v>40</v>
      </c>
      <c r="F224" s="18" t="n">
        <f aca="false">E224*0.5144</f>
        <v>20.576</v>
      </c>
      <c r="G224" s="22" t="e">
        <f aca="false">arclethnm(C223,D223,C224,D224)/6</f>
        <v>#NAME?</v>
      </c>
      <c r="H224" s="22" t="e">
        <f aca="false">G224*0.5144</f>
        <v>#NAME?</v>
      </c>
      <c r="I224" s="18" t="n">
        <v>0</v>
      </c>
    </row>
    <row r="225" customFormat="false" ht="12.75" hidden="false" customHeight="false" outlineLevel="0" collapsed="false">
      <c r="A225" s="18" t="n">
        <f aca="false">B225-0.25</f>
        <v>1.5</v>
      </c>
      <c r="B225" s="18" t="n">
        <f aca="false">B224+0.25</f>
        <v>1.75</v>
      </c>
      <c r="C225" s="18" t="n">
        <v>26</v>
      </c>
      <c r="D225" s="18" t="n">
        <v>-96</v>
      </c>
      <c r="E225" s="18" t="n">
        <v>45</v>
      </c>
      <c r="F225" s="18" t="n">
        <f aca="false">E225*0.5144</f>
        <v>23.148</v>
      </c>
      <c r="G225" s="22" t="e">
        <f aca="false">arclethnm(C224,D224,C225,D225)/6</f>
        <v>#NAME?</v>
      </c>
      <c r="H225" s="22" t="e">
        <f aca="false">G225*0.5144</f>
        <v>#NAME?</v>
      </c>
      <c r="I225" s="18" t="n">
        <v>0</v>
      </c>
    </row>
    <row r="226" customFormat="false" ht="12.75" hidden="false" customHeight="false" outlineLevel="0" collapsed="false">
      <c r="A226" s="18" t="n">
        <f aca="false">B226-0.25</f>
        <v>1.75</v>
      </c>
      <c r="B226" s="18" t="n">
        <f aca="false">B225+0.25</f>
        <v>2</v>
      </c>
      <c r="C226" s="18" t="n">
        <v>26.9</v>
      </c>
      <c r="D226" s="18" t="n">
        <v>-95.8</v>
      </c>
      <c r="E226" s="18" t="n">
        <v>55</v>
      </c>
      <c r="F226" s="18" t="n">
        <f aca="false">E226*0.5144</f>
        <v>28.292</v>
      </c>
      <c r="G226" s="22" t="e">
        <f aca="false">arclethnm(C225,D225,C226,D226)/6</f>
        <v>#NAME?</v>
      </c>
      <c r="H226" s="22" t="e">
        <f aca="false">G226*0.5144</f>
        <v>#NAME?</v>
      </c>
      <c r="I226" s="18" t="n">
        <v>0</v>
      </c>
    </row>
    <row r="227" customFormat="false" ht="12.75" hidden="false" customHeight="false" outlineLevel="0" collapsed="false">
      <c r="A227" s="18" t="n">
        <f aca="false">B227-0.25</f>
        <v>2</v>
      </c>
      <c r="B227" s="18" t="n">
        <f aca="false">B226+0.25</f>
        <v>2.25</v>
      </c>
      <c r="C227" s="18" t="n">
        <v>27.9</v>
      </c>
      <c r="D227" s="18" t="n">
        <v>-95.3</v>
      </c>
      <c r="E227" s="18" t="n">
        <v>65</v>
      </c>
      <c r="F227" s="18" t="n">
        <f aca="false">E227*0.5144</f>
        <v>33.436</v>
      </c>
      <c r="G227" s="22" t="e">
        <f aca="false">arclethnm(C226,D226,C227,D227)/6</f>
        <v>#NAME?</v>
      </c>
      <c r="H227" s="22" t="e">
        <f aca="false">G227*0.5144</f>
        <v>#NAME?</v>
      </c>
      <c r="I227" s="18" t="n">
        <v>0</v>
      </c>
    </row>
    <row r="228" customFormat="false" ht="12.75" hidden="false" customHeight="false" outlineLevel="0" collapsed="false">
      <c r="A228" s="18" t="n">
        <f aca="false">B228-0.25</f>
        <v>2.25</v>
      </c>
      <c r="B228" s="18" t="n">
        <f aca="false">B227+0.25</f>
        <v>2.5</v>
      </c>
      <c r="C228" s="18" t="n">
        <v>28.9</v>
      </c>
      <c r="D228" s="18" t="n">
        <v>-94.7</v>
      </c>
      <c r="E228" s="18" t="n">
        <v>75</v>
      </c>
      <c r="F228" s="18" t="n">
        <f aca="false">E228*0.5144</f>
        <v>38.58</v>
      </c>
      <c r="G228" s="22" t="e">
        <f aca="false">arclethnm(C227,D227,C228,D228)/6</f>
        <v>#NAME?</v>
      </c>
      <c r="H228" s="22" t="e">
        <f aca="false">G228*0.5144</f>
        <v>#NAME?</v>
      </c>
      <c r="I228" s="18" t="n">
        <v>0</v>
      </c>
    </row>
    <row r="229" customFormat="false" ht="12.75" hidden="false" customHeight="false" outlineLevel="0" collapsed="false">
      <c r="A229" s="18" t="n">
        <f aca="false">B229-0.25</f>
        <v>2.5</v>
      </c>
      <c r="B229" s="18" t="n">
        <f aca="false">B228+0.25</f>
        <v>2.75</v>
      </c>
      <c r="C229" s="18" t="n">
        <v>29.6</v>
      </c>
      <c r="D229" s="18" t="n">
        <v>-94.2</v>
      </c>
      <c r="E229" s="18" t="n">
        <v>75</v>
      </c>
      <c r="F229" s="18" t="n">
        <f aca="false">E229*0.5144</f>
        <v>38.58</v>
      </c>
      <c r="G229" s="22" t="e">
        <f aca="false">arclethnm(C228,D228,C229,D229)/6</f>
        <v>#NAME?</v>
      </c>
      <c r="H229" s="22" t="e">
        <f aca="false">G229*0.5144</f>
        <v>#NAME?</v>
      </c>
      <c r="I229" s="18" t="n">
        <v>0</v>
      </c>
    </row>
    <row r="230" customFormat="false" ht="12.75" hidden="false" customHeight="false" outlineLevel="0" collapsed="false">
      <c r="A230" s="18" t="n">
        <f aca="false">B230-0.25</f>
        <v>2.75</v>
      </c>
      <c r="B230" s="18" t="n">
        <f aca="false">B229+0.25</f>
        <v>3</v>
      </c>
      <c r="C230" s="18" t="n">
        <v>29.9</v>
      </c>
      <c r="D230" s="18" t="n">
        <v>-94</v>
      </c>
      <c r="E230" s="18" t="n">
        <v>85</v>
      </c>
      <c r="F230" s="18" t="n">
        <f aca="false">E230*0.5144</f>
        <v>43.724</v>
      </c>
      <c r="G230" s="22" t="e">
        <f aca="false">arclethnm(C229,D229,C230,D230)/6</f>
        <v>#NAME?</v>
      </c>
      <c r="H230" s="22" t="e">
        <f aca="false">G230*0.5144</f>
        <v>#NAME?</v>
      </c>
      <c r="I230" s="18" t="n">
        <v>0</v>
      </c>
    </row>
    <row r="231" customFormat="false" ht="12.75" hidden="false" customHeight="false" outlineLevel="0" collapsed="false">
      <c r="A231" s="18" t="n">
        <f aca="false">B231-0.25</f>
        <v>3</v>
      </c>
      <c r="B231" s="18" t="n">
        <f aca="false">B230+0.25</f>
        <v>3.25</v>
      </c>
      <c r="C231" s="18" t="n">
        <v>30.6</v>
      </c>
      <c r="D231" s="18" t="n">
        <v>-93</v>
      </c>
      <c r="E231" s="18" t="n">
        <v>60</v>
      </c>
      <c r="F231" s="18" t="n">
        <f aca="false">E231*0.5144</f>
        <v>30.864</v>
      </c>
      <c r="G231" s="22" t="e">
        <f aca="false">arclethnm(C230,D230,C231,D231)/6</f>
        <v>#NAME?</v>
      </c>
      <c r="H231" s="22" t="e">
        <f aca="false">G231*0.5144</f>
        <v>#NAME?</v>
      </c>
      <c r="I231" s="18" t="n">
        <v>0</v>
      </c>
    </row>
    <row r="232" customFormat="false" ht="12.75" hidden="false" customHeight="false" outlineLevel="0" collapsed="false">
      <c r="A232" s="18" t="n">
        <f aca="false">B232-0.25</f>
        <v>3.25</v>
      </c>
      <c r="B232" s="18" t="n">
        <f aca="false">B231+0.25</f>
        <v>3.5</v>
      </c>
      <c r="C232" s="18" t="n">
        <v>31</v>
      </c>
      <c r="D232" s="18" t="n">
        <v>-91.8</v>
      </c>
      <c r="E232" s="18" t="n">
        <v>45</v>
      </c>
      <c r="F232" s="18" t="n">
        <f aca="false">E232*0.5144</f>
        <v>23.148</v>
      </c>
      <c r="G232" s="22" t="e">
        <f aca="false">arclethnm(C231,D231,C232,D232)/6</f>
        <v>#NAME?</v>
      </c>
      <c r="H232" s="22" t="e">
        <f aca="false">G232*0.5144</f>
        <v>#NAME?</v>
      </c>
      <c r="I232" s="18" t="n">
        <v>0</v>
      </c>
    </row>
    <row r="233" customFormat="false" ht="12.75" hidden="false" customHeight="false" outlineLevel="0" collapsed="false">
      <c r="A233" s="18" t="n">
        <f aca="false">B233-0.25</f>
        <v>3.5</v>
      </c>
      <c r="B233" s="18" t="n">
        <f aca="false">B232+0.25</f>
        <v>3.75</v>
      </c>
      <c r="C233" s="18" t="n">
        <v>31.2</v>
      </c>
      <c r="D233" s="18" t="n">
        <v>-90.4</v>
      </c>
      <c r="E233" s="18" t="n">
        <v>35</v>
      </c>
      <c r="F233" s="18" t="n">
        <f aca="false">E233*0.5144</f>
        <v>18.004</v>
      </c>
      <c r="G233" s="22" t="e">
        <f aca="false">arclethnm(C232,D232,C233,D233)/6</f>
        <v>#NAME?</v>
      </c>
      <c r="H233" s="22" t="e">
        <f aca="false">G233*0.5144</f>
        <v>#NAME?</v>
      </c>
      <c r="I233" s="18" t="n">
        <v>0</v>
      </c>
    </row>
    <row r="234" customFormat="false" ht="12.75" hidden="false" customHeight="false" outlineLevel="0" collapsed="false">
      <c r="A234" s="18" t="n">
        <f aca="false">B234-0.25</f>
        <v>3.75</v>
      </c>
      <c r="B234" s="18" t="n">
        <f aca="false">B233+0.25</f>
        <v>4</v>
      </c>
      <c r="C234" s="18" t="n">
        <v>31.2</v>
      </c>
      <c r="D234" s="18" t="n">
        <v>-89</v>
      </c>
      <c r="E234" s="18" t="n">
        <v>30</v>
      </c>
      <c r="F234" s="18" t="n">
        <f aca="false">E234*0.5144</f>
        <v>15.432</v>
      </c>
      <c r="G234" s="22" t="e">
        <f aca="false">arclethnm(C233,D233,C234,D234)/6</f>
        <v>#NAME?</v>
      </c>
      <c r="H234" s="22" t="e">
        <f aca="false">G234*0.5144</f>
        <v>#NAME?</v>
      </c>
      <c r="I234" s="18" t="n">
        <v>0</v>
      </c>
    </row>
    <row r="235" customFormat="false" ht="12.75" hidden="false" customHeight="false" outlineLevel="0" collapsed="false">
      <c r="A235" s="0"/>
      <c r="B235" s="0"/>
      <c r="C235" s="0"/>
      <c r="D235" s="0"/>
      <c r="E235" s="0"/>
      <c r="F235" s="0"/>
      <c r="G235" s="22"/>
      <c r="H235" s="22"/>
      <c r="I235" s="0"/>
    </row>
    <row r="236" customFormat="false" ht="12.75" hidden="false" customHeight="false" outlineLevel="0" collapsed="false">
      <c r="A236" s="0"/>
      <c r="B236" s="0"/>
      <c r="C236" s="0"/>
      <c r="D236" s="0"/>
      <c r="E236" s="0"/>
      <c r="F236" s="0"/>
      <c r="G236" s="22"/>
      <c r="H236" s="22"/>
      <c r="I236" s="0"/>
    </row>
    <row r="237" customFormat="false" ht="12.75" hidden="false" customHeight="false" outlineLevel="0" collapsed="false">
      <c r="A237" s="0"/>
      <c r="B237" s="0"/>
      <c r="C237" s="0"/>
      <c r="D237" s="0"/>
      <c r="E237" s="0"/>
      <c r="F237" s="0"/>
      <c r="G237" s="22"/>
      <c r="H237" s="22"/>
      <c r="I237" s="0"/>
    </row>
    <row r="238" customFormat="false" ht="12.75" hidden="false" customHeight="false" outlineLevel="0" collapsed="false">
      <c r="A238" s="0"/>
      <c r="B238" s="20" t="n">
        <v>1886</v>
      </c>
      <c r="C238" s="20" t="s">
        <v>18</v>
      </c>
      <c r="D238" s="20" t="s">
        <v>74</v>
      </c>
      <c r="E238" s="0"/>
      <c r="F238" s="0"/>
      <c r="G238" s="22"/>
      <c r="H238" s="22"/>
      <c r="I238" s="0"/>
    </row>
    <row r="239" customFormat="false" ht="12.75" hidden="false" customHeight="false" outlineLevel="0" collapsed="false">
      <c r="A239" s="0"/>
      <c r="B239" s="0"/>
      <c r="C239" s="0"/>
      <c r="D239" s="0"/>
      <c r="E239" s="0"/>
      <c r="F239" s="0"/>
      <c r="G239" s="22"/>
      <c r="H239" s="22"/>
      <c r="I239" s="0"/>
    </row>
    <row r="240" customFormat="false" ht="12.75" hidden="false" customHeight="false" outlineLevel="0" collapsed="false">
      <c r="A240" s="0"/>
      <c r="B240" s="0"/>
      <c r="C240" s="0"/>
      <c r="D240" s="0"/>
      <c r="E240" s="0"/>
      <c r="F240" s="0"/>
      <c r="G240" s="22"/>
      <c r="H240" s="22"/>
      <c r="I240" s="0"/>
    </row>
    <row r="241" customFormat="false" ht="12.75" hidden="false" customHeight="false" outlineLevel="0" collapsed="false">
      <c r="A241" s="18" t="n">
        <f aca="false">B241-0.25</f>
        <v>1</v>
      </c>
      <c r="B241" s="18" t="n">
        <v>1.25</v>
      </c>
      <c r="C241" s="18" t="n">
        <v>10.5</v>
      </c>
      <c r="D241" s="18" t="n">
        <v>-58</v>
      </c>
      <c r="E241" s="18" t="n">
        <v>35</v>
      </c>
      <c r="F241" s="18" t="n">
        <f aca="false">E241*0.5144</f>
        <v>18.004</v>
      </c>
      <c r="G241" s="22"/>
      <c r="H241" s="22"/>
      <c r="I241" s="18" t="n">
        <v>0</v>
      </c>
    </row>
    <row r="242" customFormat="false" ht="12.75" hidden="false" customHeight="false" outlineLevel="0" collapsed="false">
      <c r="A242" s="18" t="n">
        <f aca="false">B242-0.25</f>
        <v>1.25</v>
      </c>
      <c r="B242" s="18" t="n">
        <f aca="false">B241+0.25</f>
        <v>1.5</v>
      </c>
      <c r="C242" s="18" t="n">
        <v>11.1</v>
      </c>
      <c r="D242" s="18" t="n">
        <v>-58.9</v>
      </c>
      <c r="E242" s="18" t="n">
        <v>40</v>
      </c>
      <c r="F242" s="18" t="n">
        <f aca="false">E242*0.5144</f>
        <v>20.576</v>
      </c>
      <c r="G242" s="22" t="e">
        <f aca="false">arclethnm(C241,D241,C242,D242)/6</f>
        <v>#NAME?</v>
      </c>
      <c r="H242" s="22" t="e">
        <f aca="false">G242*0.5144</f>
        <v>#NAME?</v>
      </c>
      <c r="I242" s="18" t="n">
        <v>0</v>
      </c>
    </row>
    <row r="243" customFormat="false" ht="12.75" hidden="false" customHeight="false" outlineLevel="0" collapsed="false">
      <c r="A243" s="18" t="n">
        <f aca="false">B243-0.25</f>
        <v>1.5</v>
      </c>
      <c r="B243" s="18" t="n">
        <f aca="false">B242+0.25</f>
        <v>1.75</v>
      </c>
      <c r="C243" s="18" t="n">
        <v>11.8</v>
      </c>
      <c r="D243" s="18" t="n">
        <v>-59.8</v>
      </c>
      <c r="E243" s="18" t="n">
        <v>45</v>
      </c>
      <c r="F243" s="18" t="n">
        <f aca="false">E243*0.5144</f>
        <v>23.148</v>
      </c>
      <c r="G243" s="22" t="e">
        <f aca="false">arclethnm(C242,D242,C243,D243)/6</f>
        <v>#NAME?</v>
      </c>
      <c r="H243" s="22" t="e">
        <f aca="false">G243*0.5144</f>
        <v>#NAME?</v>
      </c>
      <c r="I243" s="18" t="n">
        <v>0</v>
      </c>
    </row>
    <row r="244" customFormat="false" ht="12.75" hidden="false" customHeight="false" outlineLevel="0" collapsed="false">
      <c r="A244" s="18" t="n">
        <f aca="false">B244-0.25</f>
        <v>1.75</v>
      </c>
      <c r="B244" s="18" t="n">
        <f aca="false">B243+0.25</f>
        <v>2</v>
      </c>
      <c r="C244" s="18" t="n">
        <v>12.5</v>
      </c>
      <c r="D244" s="18" t="n">
        <v>-60.7</v>
      </c>
      <c r="E244" s="18" t="n">
        <v>50</v>
      </c>
      <c r="F244" s="18" t="n">
        <f aca="false">E244*0.5144</f>
        <v>25.72</v>
      </c>
      <c r="G244" s="22" t="e">
        <f aca="false">arclethnm(C243,D243,C244,D244)/6</f>
        <v>#NAME?</v>
      </c>
      <c r="H244" s="22" t="e">
        <f aca="false">G244*0.5144</f>
        <v>#NAME?</v>
      </c>
      <c r="I244" s="18" t="n">
        <v>0</v>
      </c>
    </row>
    <row r="245" customFormat="false" ht="12.75" hidden="false" customHeight="false" outlineLevel="0" collapsed="false">
      <c r="A245" s="18" t="n">
        <f aca="false">B245-0.25</f>
        <v>2</v>
      </c>
      <c r="B245" s="18" t="n">
        <f aca="false">B244+0.25</f>
        <v>2.25</v>
      </c>
      <c r="C245" s="18" t="n">
        <v>13.2</v>
      </c>
      <c r="D245" s="18" t="n">
        <v>-61.7</v>
      </c>
      <c r="E245" s="18" t="n">
        <v>55</v>
      </c>
      <c r="F245" s="18" t="n">
        <f aca="false">E245*0.5144</f>
        <v>28.292</v>
      </c>
      <c r="G245" s="22" t="e">
        <f aca="false">arclethnm(C244,D244,C245,D245)/6</f>
        <v>#NAME?</v>
      </c>
      <c r="H245" s="22" t="e">
        <f aca="false">G245*0.5144</f>
        <v>#NAME?</v>
      </c>
      <c r="I245" s="18" t="n">
        <v>0</v>
      </c>
    </row>
    <row r="246" customFormat="false" ht="12.75" hidden="false" customHeight="false" outlineLevel="0" collapsed="false">
      <c r="A246" s="18" t="n">
        <f aca="false">B246-0.25</f>
        <v>2.25</v>
      </c>
      <c r="B246" s="18" t="n">
        <f aca="false">B245+0.25</f>
        <v>2.5</v>
      </c>
      <c r="C246" s="18" t="n">
        <v>14</v>
      </c>
      <c r="D246" s="18" t="n">
        <v>-62.7</v>
      </c>
      <c r="E246" s="18" t="n">
        <v>60</v>
      </c>
      <c r="F246" s="18" t="n">
        <f aca="false">E246*0.5144</f>
        <v>30.864</v>
      </c>
      <c r="G246" s="22" t="e">
        <f aca="false">arclethnm(C245,D245,C246,D246)/6</f>
        <v>#NAME?</v>
      </c>
      <c r="H246" s="22" t="e">
        <f aca="false">G246*0.5144</f>
        <v>#NAME?</v>
      </c>
      <c r="I246" s="18" t="n">
        <v>0</v>
      </c>
    </row>
    <row r="247" customFormat="false" ht="12.75" hidden="false" customHeight="false" outlineLevel="0" collapsed="false">
      <c r="A247" s="18" t="n">
        <f aca="false">B247-0.25</f>
        <v>2.5</v>
      </c>
      <c r="B247" s="18" t="n">
        <f aca="false">B246+0.25</f>
        <v>2.75</v>
      </c>
      <c r="C247" s="18" t="n">
        <v>14.6</v>
      </c>
      <c r="D247" s="18" t="n">
        <v>-63.9</v>
      </c>
      <c r="E247" s="18" t="n">
        <v>65</v>
      </c>
      <c r="F247" s="18" t="n">
        <f aca="false">E247*0.5144</f>
        <v>33.436</v>
      </c>
      <c r="G247" s="22" t="e">
        <f aca="false">arclethnm(C246,D246,C247,D247)/6</f>
        <v>#NAME?</v>
      </c>
      <c r="H247" s="22" t="e">
        <f aca="false">G247*0.5144</f>
        <v>#NAME?</v>
      </c>
      <c r="I247" s="18" t="n">
        <v>0</v>
      </c>
    </row>
    <row r="248" customFormat="false" ht="12.75" hidden="false" customHeight="false" outlineLevel="0" collapsed="false">
      <c r="A248" s="18" t="n">
        <f aca="false">B248-0.25</f>
        <v>2.75</v>
      </c>
      <c r="B248" s="18" t="n">
        <f aca="false">B247+0.25</f>
        <v>3</v>
      </c>
      <c r="C248" s="18" t="n">
        <v>15.2</v>
      </c>
      <c r="D248" s="18" t="n">
        <v>-65.2</v>
      </c>
      <c r="E248" s="18" t="n">
        <v>70</v>
      </c>
      <c r="F248" s="18" t="n">
        <f aca="false">E248*0.5144</f>
        <v>36.008</v>
      </c>
      <c r="G248" s="22" t="e">
        <f aca="false">arclethnm(C247,D247,C248,D248)/6</f>
        <v>#NAME?</v>
      </c>
      <c r="H248" s="22" t="e">
        <f aca="false">G248*0.5144</f>
        <v>#NAME?</v>
      </c>
      <c r="I248" s="18" t="n">
        <v>0</v>
      </c>
    </row>
    <row r="249" customFormat="false" ht="12.75" hidden="false" customHeight="false" outlineLevel="0" collapsed="false">
      <c r="A249" s="18" t="n">
        <f aca="false">B249-0.25</f>
        <v>3</v>
      </c>
      <c r="B249" s="18" t="n">
        <f aca="false">B248+0.25</f>
        <v>3.25</v>
      </c>
      <c r="C249" s="18" t="n">
        <v>15.7</v>
      </c>
      <c r="D249" s="18" t="n">
        <v>-66.2</v>
      </c>
      <c r="E249" s="18" t="n">
        <v>75</v>
      </c>
      <c r="F249" s="18" t="n">
        <f aca="false">E249*0.5144</f>
        <v>38.58</v>
      </c>
      <c r="G249" s="22" t="e">
        <f aca="false">arclethnm(C248,D248,C249,D249)/6</f>
        <v>#NAME?</v>
      </c>
      <c r="H249" s="22" t="e">
        <f aca="false">G249*0.5144</f>
        <v>#NAME?</v>
      </c>
      <c r="I249" s="18" t="n">
        <v>0</v>
      </c>
    </row>
    <row r="250" customFormat="false" ht="12.75" hidden="false" customHeight="false" outlineLevel="0" collapsed="false">
      <c r="A250" s="18" t="n">
        <f aca="false">B250-0.25</f>
        <v>3.25</v>
      </c>
      <c r="B250" s="18" t="n">
        <f aca="false">B249+0.25</f>
        <v>3.5</v>
      </c>
      <c r="C250" s="18" t="n">
        <v>16.3</v>
      </c>
      <c r="D250" s="18" t="n">
        <v>-67.3</v>
      </c>
      <c r="E250" s="18" t="n">
        <v>80</v>
      </c>
      <c r="F250" s="18" t="n">
        <f aca="false">E250*0.5144</f>
        <v>41.152</v>
      </c>
      <c r="G250" s="22" t="e">
        <f aca="false">arclethnm(C249,D249,C250,D250)/6</f>
        <v>#NAME?</v>
      </c>
      <c r="H250" s="22" t="e">
        <f aca="false">G250*0.5144</f>
        <v>#NAME?</v>
      </c>
      <c r="I250" s="18" t="n">
        <v>0</v>
      </c>
    </row>
    <row r="251" customFormat="false" ht="12.75" hidden="false" customHeight="false" outlineLevel="0" collapsed="false">
      <c r="A251" s="18" t="n">
        <f aca="false">B251-0.25</f>
        <v>3.5</v>
      </c>
      <c r="B251" s="18" t="n">
        <f aca="false">B250+0.25</f>
        <v>3.75</v>
      </c>
      <c r="C251" s="18" t="n">
        <v>16.9</v>
      </c>
      <c r="D251" s="18" t="n">
        <v>-68.3</v>
      </c>
      <c r="E251" s="18" t="n">
        <v>85</v>
      </c>
      <c r="F251" s="18" t="n">
        <f aca="false">E251*0.5144</f>
        <v>43.724</v>
      </c>
      <c r="G251" s="22" t="e">
        <f aca="false">arclethnm(C250,D250,C251,D251)/6</f>
        <v>#NAME?</v>
      </c>
      <c r="H251" s="22" t="e">
        <f aca="false">G251*0.5144</f>
        <v>#NAME?</v>
      </c>
      <c r="I251" s="18" t="n">
        <v>0</v>
      </c>
    </row>
    <row r="252" customFormat="false" ht="12.75" hidden="false" customHeight="false" outlineLevel="0" collapsed="false">
      <c r="A252" s="18" t="n">
        <f aca="false">B252-0.25</f>
        <v>3.75</v>
      </c>
      <c r="B252" s="18" t="n">
        <f aca="false">B251+0.25</f>
        <v>4</v>
      </c>
      <c r="C252" s="18" t="n">
        <v>17.4</v>
      </c>
      <c r="D252" s="18" t="n">
        <v>-69.3</v>
      </c>
      <c r="E252" s="18" t="n">
        <v>85</v>
      </c>
      <c r="F252" s="18" t="n">
        <f aca="false">E252*0.5144</f>
        <v>43.724</v>
      </c>
      <c r="G252" s="22" t="e">
        <f aca="false">arclethnm(C251,D251,C252,D252)/6</f>
        <v>#NAME?</v>
      </c>
      <c r="H252" s="22" t="e">
        <f aca="false">G252*0.5144</f>
        <v>#NAME?</v>
      </c>
      <c r="I252" s="18" t="n">
        <v>0</v>
      </c>
    </row>
    <row r="253" customFormat="false" ht="12.75" hidden="false" customHeight="false" outlineLevel="0" collapsed="false">
      <c r="A253" s="18" t="n">
        <f aca="false">B253-0.25</f>
        <v>4</v>
      </c>
      <c r="B253" s="18" t="n">
        <f aca="false">B252+0.25</f>
        <v>4.25</v>
      </c>
      <c r="C253" s="18" t="n">
        <v>17.9</v>
      </c>
      <c r="D253" s="18" t="n">
        <v>-70.2</v>
      </c>
      <c r="E253" s="18" t="n">
        <v>85</v>
      </c>
      <c r="F253" s="18" t="n">
        <f aca="false">E253*0.5144</f>
        <v>43.724</v>
      </c>
      <c r="G253" s="22" t="e">
        <f aca="false">arclethnm(C252,D252,C253,D253)/6</f>
        <v>#NAME?</v>
      </c>
      <c r="H253" s="22" t="e">
        <f aca="false">G253*0.5144</f>
        <v>#NAME?</v>
      </c>
      <c r="I253" s="18" t="n">
        <v>0</v>
      </c>
    </row>
    <row r="254" customFormat="false" ht="12.75" hidden="false" customHeight="false" outlineLevel="0" collapsed="false">
      <c r="A254" s="18" t="n">
        <f aca="false">B254-0.25</f>
        <v>4.25</v>
      </c>
      <c r="B254" s="18" t="n">
        <f aca="false">B253+0.25</f>
        <v>4.5</v>
      </c>
      <c r="C254" s="18" t="n">
        <v>18.3</v>
      </c>
      <c r="D254" s="18" t="n">
        <v>-71.3</v>
      </c>
      <c r="E254" s="18" t="n">
        <v>80</v>
      </c>
      <c r="F254" s="18" t="n">
        <f aca="false">E254*0.5144</f>
        <v>41.152</v>
      </c>
      <c r="G254" s="22" t="e">
        <f aca="false">arclethnm(C253,D253,C254,D254)/6</f>
        <v>#NAME?</v>
      </c>
      <c r="H254" s="22" t="e">
        <f aca="false">G254*0.5144</f>
        <v>#NAME?</v>
      </c>
      <c r="I254" s="18" t="n">
        <v>0</v>
      </c>
    </row>
    <row r="255" customFormat="false" ht="12.75" hidden="false" customHeight="false" outlineLevel="0" collapsed="false">
      <c r="A255" s="18" t="n">
        <f aca="false">B255-0.25</f>
        <v>4.5</v>
      </c>
      <c r="B255" s="18" t="n">
        <f aca="false">B254+0.25</f>
        <v>4.75</v>
      </c>
      <c r="C255" s="18" t="n">
        <v>18.6</v>
      </c>
      <c r="D255" s="18" t="n">
        <v>-72.6</v>
      </c>
      <c r="E255" s="18" t="n">
        <v>75</v>
      </c>
      <c r="F255" s="18" t="n">
        <f aca="false">E255*0.5144</f>
        <v>38.58</v>
      </c>
      <c r="G255" s="22" t="e">
        <f aca="false">arclethnm(C254,D254,C255,D255)/6</f>
        <v>#NAME?</v>
      </c>
      <c r="H255" s="22" t="e">
        <f aca="false">G255*0.5144</f>
        <v>#NAME?</v>
      </c>
      <c r="I255" s="18" t="n">
        <v>0</v>
      </c>
    </row>
    <row r="256" customFormat="false" ht="12.75" hidden="false" customHeight="false" outlineLevel="0" collapsed="false">
      <c r="A256" s="18" t="n">
        <f aca="false">B256-0.25</f>
        <v>4.75</v>
      </c>
      <c r="B256" s="18" t="n">
        <f aca="false">B255+0.25</f>
        <v>5</v>
      </c>
      <c r="C256" s="18" t="n">
        <v>18.8</v>
      </c>
      <c r="D256" s="18" t="n">
        <v>-73.9</v>
      </c>
      <c r="E256" s="18" t="n">
        <v>70</v>
      </c>
      <c r="F256" s="18" t="n">
        <f aca="false">E256*0.5144</f>
        <v>36.008</v>
      </c>
      <c r="G256" s="22" t="e">
        <f aca="false">arclethnm(C255,D255,C256,D256)/6</f>
        <v>#NAME?</v>
      </c>
      <c r="H256" s="22" t="e">
        <f aca="false">G256*0.5144</f>
        <v>#NAME?</v>
      </c>
      <c r="I256" s="18" t="n">
        <v>0</v>
      </c>
    </row>
    <row r="257" customFormat="false" ht="12.75" hidden="false" customHeight="false" outlineLevel="0" collapsed="false">
      <c r="A257" s="18" t="n">
        <f aca="false">B257-0.25</f>
        <v>5</v>
      </c>
      <c r="B257" s="18" t="n">
        <f aca="false">B256+0.25</f>
        <v>5.25</v>
      </c>
      <c r="C257" s="18" t="n">
        <v>19.1</v>
      </c>
      <c r="D257" s="18" t="n">
        <v>-75.2</v>
      </c>
      <c r="E257" s="18" t="n">
        <v>80</v>
      </c>
      <c r="F257" s="18" t="n">
        <f aca="false">E257*0.5144</f>
        <v>41.152</v>
      </c>
      <c r="G257" s="22" t="e">
        <f aca="false">arclethnm(C256,D256,C257,D257)/6</f>
        <v>#NAME?</v>
      </c>
      <c r="H257" s="22" t="e">
        <f aca="false">G257*0.5144</f>
        <v>#NAME?</v>
      </c>
      <c r="I257" s="18" t="n">
        <v>0</v>
      </c>
    </row>
    <row r="258" customFormat="false" ht="12.75" hidden="false" customHeight="false" outlineLevel="0" collapsed="false">
      <c r="A258" s="18" t="n">
        <f aca="false">B258-0.25</f>
        <v>5.25</v>
      </c>
      <c r="B258" s="18" t="n">
        <f aca="false">B257+0.25</f>
        <v>5.5</v>
      </c>
      <c r="C258" s="18" t="n">
        <v>19.5</v>
      </c>
      <c r="D258" s="18" t="n">
        <v>-76.5</v>
      </c>
      <c r="E258" s="18" t="n">
        <v>85</v>
      </c>
      <c r="F258" s="18" t="n">
        <f aca="false">E258*0.5144</f>
        <v>43.724</v>
      </c>
      <c r="G258" s="22" t="e">
        <f aca="false">arclethnm(C257,D257,C258,D258)/6</f>
        <v>#NAME?</v>
      </c>
      <c r="H258" s="22" t="e">
        <f aca="false">G258*0.5144</f>
        <v>#NAME?</v>
      </c>
      <c r="I258" s="18" t="n">
        <v>0</v>
      </c>
    </row>
    <row r="259" customFormat="false" ht="12.75" hidden="false" customHeight="false" outlineLevel="0" collapsed="false">
      <c r="A259" s="18" t="n">
        <f aca="false">B259-0.25</f>
        <v>5.5</v>
      </c>
      <c r="B259" s="18" t="n">
        <f aca="false">B258+0.25</f>
        <v>5.75</v>
      </c>
      <c r="C259" s="18" t="n">
        <v>20.4</v>
      </c>
      <c r="D259" s="18" t="n">
        <v>-77.3</v>
      </c>
      <c r="E259" s="18" t="n">
        <v>80</v>
      </c>
      <c r="F259" s="18" t="n">
        <f aca="false">E259*0.5144</f>
        <v>41.152</v>
      </c>
      <c r="G259" s="22" t="e">
        <f aca="false">arclethnm(C258,D258,C259,D259)/6</f>
        <v>#NAME?</v>
      </c>
      <c r="H259" s="22" t="e">
        <f aca="false">G259*0.5144</f>
        <v>#NAME?</v>
      </c>
      <c r="I259" s="18" t="n">
        <v>0</v>
      </c>
    </row>
    <row r="260" customFormat="false" ht="12.75" hidden="false" customHeight="false" outlineLevel="0" collapsed="false">
      <c r="A260" s="18" t="n">
        <f aca="false">B260-0.25</f>
        <v>5.75</v>
      </c>
      <c r="B260" s="18" t="n">
        <f aca="false">B259+0.25</f>
        <v>6</v>
      </c>
      <c r="C260" s="18" t="n">
        <v>21.3</v>
      </c>
      <c r="D260" s="18" t="n">
        <v>-78.1</v>
      </c>
      <c r="E260" s="18" t="n">
        <v>75</v>
      </c>
      <c r="F260" s="18" t="n">
        <f aca="false">E260*0.5144</f>
        <v>38.58</v>
      </c>
      <c r="G260" s="22" t="e">
        <f aca="false">arclethnm(C259,D259,C260,D260)/6</f>
        <v>#NAME?</v>
      </c>
      <c r="H260" s="22" t="e">
        <f aca="false">G260*0.5144</f>
        <v>#NAME?</v>
      </c>
      <c r="I260" s="18" t="n">
        <v>0</v>
      </c>
    </row>
    <row r="261" customFormat="false" ht="12.75" hidden="false" customHeight="false" outlineLevel="0" collapsed="false">
      <c r="A261" s="18" t="n">
        <f aca="false">B261-0.25</f>
        <v>6</v>
      </c>
      <c r="B261" s="18" t="n">
        <f aca="false">B260+0.25</f>
        <v>6.25</v>
      </c>
      <c r="C261" s="18" t="n">
        <v>22.1</v>
      </c>
      <c r="D261" s="18" t="n">
        <v>-79</v>
      </c>
      <c r="E261" s="18" t="n">
        <v>70</v>
      </c>
      <c r="F261" s="18" t="n">
        <f aca="false">E261*0.5144</f>
        <v>36.008</v>
      </c>
      <c r="G261" s="22" t="e">
        <f aca="false">arclethnm(C260,D260,C261,D261)/6</f>
        <v>#NAME?</v>
      </c>
      <c r="H261" s="22" t="e">
        <f aca="false">G261*0.5144</f>
        <v>#NAME?</v>
      </c>
      <c r="I261" s="18" t="n">
        <v>0</v>
      </c>
    </row>
    <row r="262" customFormat="false" ht="12.75" hidden="false" customHeight="false" outlineLevel="0" collapsed="false">
      <c r="A262" s="18" t="n">
        <f aca="false">B262-0.25</f>
        <v>6.25</v>
      </c>
      <c r="B262" s="18" t="n">
        <f aca="false">B261+0.25</f>
        <v>6.5</v>
      </c>
      <c r="C262" s="18" t="n">
        <v>22.5</v>
      </c>
      <c r="D262" s="18" t="n">
        <v>-79.7</v>
      </c>
      <c r="E262" s="18" t="n">
        <v>55</v>
      </c>
      <c r="F262" s="18" t="n">
        <f aca="false">E262*0.5144</f>
        <v>28.292</v>
      </c>
      <c r="G262" s="22" t="e">
        <f aca="false">arclethnm(C261,D261,C262,D262)/6</f>
        <v>#NAME?</v>
      </c>
      <c r="H262" s="22" t="e">
        <f aca="false">G262*0.5144</f>
        <v>#NAME?</v>
      </c>
      <c r="I262" s="18" t="n">
        <v>0</v>
      </c>
    </row>
    <row r="263" customFormat="false" ht="12.75" hidden="false" customHeight="false" outlineLevel="0" collapsed="false">
      <c r="A263" s="18" t="n">
        <f aca="false">B263-0.25</f>
        <v>6.5</v>
      </c>
      <c r="B263" s="18" t="n">
        <f aca="false">B262+0.25</f>
        <v>6.75</v>
      </c>
      <c r="C263" s="18" t="n">
        <v>23.1</v>
      </c>
      <c r="D263" s="18" t="n">
        <v>-80.5</v>
      </c>
      <c r="E263" s="18" t="n">
        <v>60</v>
      </c>
      <c r="F263" s="18" t="n">
        <f aca="false">E263*0.5144</f>
        <v>30.864</v>
      </c>
      <c r="G263" s="22" t="e">
        <f aca="false">arclethnm(C262,D262,C263,D263)/6</f>
        <v>#NAME?</v>
      </c>
      <c r="H263" s="22" t="e">
        <f aca="false">G263*0.5144</f>
        <v>#NAME?</v>
      </c>
      <c r="I263" s="18" t="n">
        <v>0</v>
      </c>
    </row>
    <row r="264" customFormat="false" ht="12.75" hidden="false" customHeight="false" outlineLevel="0" collapsed="false">
      <c r="A264" s="18" t="n">
        <f aca="false">B264-0.25</f>
        <v>6.75</v>
      </c>
      <c r="B264" s="18" t="n">
        <f aca="false">B263+0.25</f>
        <v>7</v>
      </c>
      <c r="C264" s="18" t="n">
        <v>23.8</v>
      </c>
      <c r="D264" s="18" t="n">
        <v>-81.7</v>
      </c>
      <c r="E264" s="18" t="n">
        <v>65</v>
      </c>
      <c r="F264" s="18" t="n">
        <f aca="false">E264*0.5144</f>
        <v>33.436</v>
      </c>
      <c r="G264" s="22" t="e">
        <f aca="false">arclethnm(C263,D263,C264,D264)/6</f>
        <v>#NAME?</v>
      </c>
      <c r="H264" s="22" t="e">
        <f aca="false">G264*0.5144</f>
        <v>#NAME?</v>
      </c>
      <c r="I264" s="18" t="n">
        <v>0</v>
      </c>
    </row>
    <row r="265" customFormat="false" ht="12.75" hidden="false" customHeight="false" outlineLevel="0" collapsed="false">
      <c r="A265" s="18" t="n">
        <f aca="false">B265-0.25</f>
        <v>7</v>
      </c>
      <c r="B265" s="18" t="n">
        <f aca="false">B264+0.25</f>
        <v>7.25</v>
      </c>
      <c r="C265" s="18" t="n">
        <v>24.3</v>
      </c>
      <c r="D265" s="18" t="n">
        <v>-83</v>
      </c>
      <c r="E265" s="18" t="n">
        <v>70</v>
      </c>
      <c r="F265" s="18" t="n">
        <f aca="false">E265*0.5144</f>
        <v>36.008</v>
      </c>
      <c r="G265" s="22" t="e">
        <f aca="false">arclethnm(C264,D264,C265,D265)/6</f>
        <v>#NAME?</v>
      </c>
      <c r="H265" s="22" t="e">
        <f aca="false">G265*0.5144</f>
        <v>#NAME?</v>
      </c>
      <c r="I265" s="18" t="n">
        <v>0</v>
      </c>
    </row>
    <row r="266" customFormat="false" ht="12.75" hidden="false" customHeight="false" outlineLevel="0" collapsed="false">
      <c r="A266" s="18" t="n">
        <f aca="false">B266-0.25</f>
        <v>7.25</v>
      </c>
      <c r="B266" s="18" t="n">
        <f aca="false">B265+0.25</f>
        <v>7.5</v>
      </c>
      <c r="C266" s="18" t="n">
        <v>24.7</v>
      </c>
      <c r="D266" s="18" t="n">
        <v>-84.3</v>
      </c>
      <c r="E266" s="18" t="n">
        <v>75</v>
      </c>
      <c r="F266" s="18" t="n">
        <f aca="false">E266*0.5144</f>
        <v>38.58</v>
      </c>
      <c r="G266" s="22" t="e">
        <f aca="false">arclethnm(C265,D265,C266,D266)/6</f>
        <v>#NAME?</v>
      </c>
      <c r="H266" s="22" t="e">
        <f aca="false">G266*0.5144</f>
        <v>#NAME?</v>
      </c>
      <c r="I266" s="18" t="n">
        <v>0</v>
      </c>
    </row>
    <row r="267" customFormat="false" ht="12.75" hidden="false" customHeight="false" outlineLevel="0" collapsed="false">
      <c r="A267" s="18" t="n">
        <f aca="false">B267-0.25</f>
        <v>7.5</v>
      </c>
      <c r="B267" s="18" t="n">
        <f aca="false">B266+0.25</f>
        <v>7.75</v>
      </c>
      <c r="C267" s="18" t="n">
        <v>25.3</v>
      </c>
      <c r="D267" s="18" t="n">
        <v>-86.1</v>
      </c>
      <c r="E267" s="18" t="n">
        <v>75</v>
      </c>
      <c r="F267" s="18" t="n">
        <f aca="false">E267*0.5144</f>
        <v>38.58</v>
      </c>
      <c r="G267" s="22" t="e">
        <f aca="false">arclethnm(C266,D266,C267,D267)/6</f>
        <v>#NAME?</v>
      </c>
      <c r="H267" s="22" t="e">
        <f aca="false">G267*0.5144</f>
        <v>#NAME?</v>
      </c>
      <c r="I267" s="18" t="n">
        <v>0</v>
      </c>
    </row>
    <row r="268" customFormat="false" ht="12.75" hidden="false" customHeight="false" outlineLevel="0" collapsed="false">
      <c r="A268" s="18" t="n">
        <f aca="false">B268-0.25</f>
        <v>7.75</v>
      </c>
      <c r="B268" s="18" t="n">
        <f aca="false">B267+0.25</f>
        <v>8</v>
      </c>
      <c r="C268" s="18" t="n">
        <v>25.6</v>
      </c>
      <c r="D268" s="18" t="n">
        <v>-87.9</v>
      </c>
      <c r="E268" s="18" t="n">
        <v>80</v>
      </c>
      <c r="F268" s="18" t="n">
        <f aca="false">E268*0.5144</f>
        <v>41.152</v>
      </c>
      <c r="G268" s="22" t="e">
        <f aca="false">arclethnm(C267,D267,C268,D268)/6</f>
        <v>#NAME?</v>
      </c>
      <c r="H268" s="22" t="e">
        <f aca="false">G268*0.5144</f>
        <v>#NAME?</v>
      </c>
      <c r="I268" s="18" t="n">
        <v>0</v>
      </c>
    </row>
    <row r="269" customFormat="false" ht="12.75" hidden="false" customHeight="false" outlineLevel="0" collapsed="false">
      <c r="A269" s="18" t="n">
        <f aca="false">B269-0.25</f>
        <v>8</v>
      </c>
      <c r="B269" s="18" t="n">
        <f aca="false">B268+0.25</f>
        <v>8.25</v>
      </c>
      <c r="C269" s="18" t="n">
        <v>25.9</v>
      </c>
      <c r="D269" s="18" t="n">
        <v>-89.7</v>
      </c>
      <c r="E269" s="18" t="n">
        <v>90</v>
      </c>
      <c r="F269" s="18" t="n">
        <f aca="false">E269*0.5144</f>
        <v>46.296</v>
      </c>
      <c r="G269" s="22" t="e">
        <f aca="false">arclethnm(C268,D268,C269,D269)/6</f>
        <v>#NAME?</v>
      </c>
      <c r="H269" s="22" t="e">
        <f aca="false">G269*0.5144</f>
        <v>#NAME?</v>
      </c>
      <c r="I269" s="18" t="n">
        <v>0</v>
      </c>
    </row>
    <row r="270" customFormat="false" ht="12.75" hidden="false" customHeight="false" outlineLevel="0" collapsed="false">
      <c r="A270" s="18" t="n">
        <f aca="false">B270-0.25</f>
        <v>8.25</v>
      </c>
      <c r="B270" s="18" t="n">
        <f aca="false">B269+0.25</f>
        <v>8.5</v>
      </c>
      <c r="C270" s="18" t="n">
        <v>26.3</v>
      </c>
      <c r="D270" s="18" t="n">
        <v>-91.9</v>
      </c>
      <c r="E270" s="18" t="n">
        <v>100</v>
      </c>
      <c r="F270" s="18" t="n">
        <f aca="false">E270*0.5144</f>
        <v>51.44</v>
      </c>
      <c r="G270" s="22" t="e">
        <f aca="false">arclethnm(C269,D269,C270,D270)/6</f>
        <v>#NAME?</v>
      </c>
      <c r="H270" s="22" t="e">
        <f aca="false">G270*0.5144</f>
        <v>#NAME?</v>
      </c>
      <c r="I270" s="18" t="n">
        <v>0</v>
      </c>
    </row>
    <row r="271" customFormat="false" ht="12.75" hidden="false" customHeight="false" outlineLevel="0" collapsed="false">
      <c r="A271" s="18" t="n">
        <f aca="false">B271-0.25</f>
        <v>8.5</v>
      </c>
      <c r="B271" s="18" t="n">
        <f aca="false">B270+0.25</f>
        <v>8.75</v>
      </c>
      <c r="C271" s="18" t="n">
        <v>26.5</v>
      </c>
      <c r="D271" s="18" t="n">
        <v>-93.3</v>
      </c>
      <c r="E271" s="18" t="n">
        <v>110</v>
      </c>
      <c r="F271" s="18" t="n">
        <f aca="false">E271*0.5144</f>
        <v>56.584</v>
      </c>
      <c r="G271" s="22" t="e">
        <f aca="false">arclethnm(C270,D270,C271,D271)/6</f>
        <v>#NAME?</v>
      </c>
      <c r="H271" s="22" t="e">
        <f aca="false">G271*0.5144</f>
        <v>#NAME?</v>
      </c>
      <c r="I271" s="18" t="n">
        <v>0</v>
      </c>
    </row>
    <row r="272" customFormat="false" ht="12.75" hidden="false" customHeight="false" outlineLevel="0" collapsed="false">
      <c r="A272" s="18" t="n">
        <f aca="false">B272-0.25</f>
        <v>8.75</v>
      </c>
      <c r="B272" s="18" t="n">
        <f aca="false">B271+0.25</f>
        <v>9</v>
      </c>
      <c r="C272" s="18" t="n">
        <v>26.8</v>
      </c>
      <c r="D272" s="18" t="n">
        <v>-94.5</v>
      </c>
      <c r="E272" s="18" t="n">
        <v>120</v>
      </c>
      <c r="F272" s="18" t="n">
        <f aca="false">E272*0.5144</f>
        <v>61.728</v>
      </c>
      <c r="G272" s="22" t="e">
        <f aca="false">arclethnm(C271,D271,C272,D272)/6</f>
        <v>#NAME?</v>
      </c>
      <c r="H272" s="22" t="e">
        <f aca="false">G272*0.5144</f>
        <v>#NAME?</v>
      </c>
      <c r="I272" s="18" t="n">
        <v>0</v>
      </c>
    </row>
    <row r="273" customFormat="false" ht="12.75" hidden="false" customHeight="false" outlineLevel="0" collapsed="false">
      <c r="A273" s="18" t="n">
        <f aca="false">B273-0.25</f>
        <v>9</v>
      </c>
      <c r="B273" s="18" t="n">
        <f aca="false">B272+0.25</f>
        <v>9.25</v>
      </c>
      <c r="C273" s="18" t="n">
        <v>27.4</v>
      </c>
      <c r="D273" s="18" t="n">
        <v>-95.6</v>
      </c>
      <c r="E273" s="18" t="n">
        <v>130</v>
      </c>
      <c r="F273" s="18" t="n">
        <f aca="false">E273*0.5144</f>
        <v>66.872</v>
      </c>
      <c r="G273" s="22" t="e">
        <f aca="false">arclethnm(C272,D272,C273,D273)/6</f>
        <v>#NAME?</v>
      </c>
      <c r="H273" s="22" t="e">
        <f aca="false">G273*0.5144</f>
        <v>#NAME?</v>
      </c>
      <c r="I273" s="18" t="n">
        <v>0</v>
      </c>
    </row>
    <row r="274" customFormat="false" ht="12.75" hidden="false" customHeight="false" outlineLevel="0" collapsed="false">
      <c r="A274" s="18" t="n">
        <f aca="false">B274-0.25</f>
        <v>9.25</v>
      </c>
      <c r="B274" s="18" t="n">
        <f aca="false">B273+0.25</f>
        <v>9.5</v>
      </c>
      <c r="C274" s="18" t="n">
        <v>28</v>
      </c>
      <c r="D274" s="18" t="n">
        <v>-96.6</v>
      </c>
      <c r="E274" s="18" t="n">
        <v>130</v>
      </c>
      <c r="F274" s="18" t="n">
        <f aca="false">E274*0.5144</f>
        <v>66.872</v>
      </c>
      <c r="G274" s="22" t="e">
        <f aca="false">arclethnm(C273,D273,C274,D274)/6</f>
        <v>#NAME?</v>
      </c>
      <c r="H274" s="22" t="e">
        <f aca="false">G274*0.5144</f>
        <v>#NAME?</v>
      </c>
      <c r="I274" s="18" t="n">
        <v>925</v>
      </c>
    </row>
    <row r="275" customFormat="false" ht="12.75" hidden="false" customHeight="false" outlineLevel="0" collapsed="false">
      <c r="A275" s="18" t="n">
        <f aca="false">B275-0.25</f>
        <v>9.5</v>
      </c>
      <c r="B275" s="18" t="n">
        <f aca="false">B274+0.25</f>
        <v>9.75</v>
      </c>
      <c r="C275" s="18" t="n">
        <v>28.1</v>
      </c>
      <c r="D275" s="18" t="n">
        <v>-96.8</v>
      </c>
      <c r="E275" s="18" t="n">
        <v>130</v>
      </c>
      <c r="F275" s="18" t="n">
        <f aca="false">E275*0.5144</f>
        <v>66.872</v>
      </c>
      <c r="G275" s="22" t="e">
        <f aca="false">arclethnm(C274,D274,C275,D275)/6</f>
        <v>#NAME?</v>
      </c>
      <c r="H275" s="22" t="e">
        <f aca="false">G275*0.5144</f>
        <v>#NAME?</v>
      </c>
      <c r="I275" s="18" t="n">
        <v>925</v>
      </c>
    </row>
    <row r="276" customFormat="false" ht="12.75" hidden="false" customHeight="false" outlineLevel="0" collapsed="false">
      <c r="A276" s="18" t="n">
        <f aca="false">B276-0.25</f>
        <v>9.75</v>
      </c>
      <c r="B276" s="18" t="n">
        <f aca="false">B275+0.25</f>
        <v>10</v>
      </c>
      <c r="C276" s="18" t="n">
        <v>29</v>
      </c>
      <c r="D276" s="18" t="n">
        <v>-98</v>
      </c>
      <c r="E276" s="18" t="n">
        <v>85</v>
      </c>
      <c r="F276" s="18" t="n">
        <f aca="false">E276*0.5144</f>
        <v>43.724</v>
      </c>
      <c r="G276" s="22" t="e">
        <f aca="false">arclethnm(C275,D275,C276,D276)/6</f>
        <v>#NAME?</v>
      </c>
      <c r="H276" s="22" t="e">
        <f aca="false">G276*0.5144</f>
        <v>#NAME?</v>
      </c>
      <c r="I276" s="18" t="n">
        <v>965</v>
      </c>
    </row>
    <row r="277" customFormat="false" ht="12.75" hidden="false" customHeight="false" outlineLevel="0" collapsed="false">
      <c r="A277" s="18" t="n">
        <f aca="false">B277-0.25</f>
        <v>10</v>
      </c>
      <c r="B277" s="18" t="n">
        <f aca="false">B276+0.25</f>
        <v>10.25</v>
      </c>
      <c r="C277" s="18" t="n">
        <v>30</v>
      </c>
      <c r="D277" s="18" t="n">
        <v>-99</v>
      </c>
      <c r="E277" s="18" t="n">
        <v>60</v>
      </c>
      <c r="F277" s="18" t="n">
        <f aca="false">E277*0.5144</f>
        <v>30.864</v>
      </c>
      <c r="G277" s="22" t="e">
        <f aca="false">arclethnm(C276,D276,C277,D277)/6</f>
        <v>#NAME?</v>
      </c>
      <c r="H277" s="22" t="e">
        <f aca="false">G277*0.5144</f>
        <v>#NAME?</v>
      </c>
      <c r="I277" s="18" t="n">
        <v>0</v>
      </c>
    </row>
    <row r="278" customFormat="false" ht="12.75" hidden="false" customHeight="false" outlineLevel="0" collapsed="false">
      <c r="A278" s="18" t="n">
        <f aca="false">B278-0.25</f>
        <v>10.25</v>
      </c>
      <c r="B278" s="18" t="n">
        <f aca="false">B277+0.25</f>
        <v>10.5</v>
      </c>
      <c r="C278" s="18" t="n">
        <v>31</v>
      </c>
      <c r="D278" s="18" t="n">
        <v>-99.6</v>
      </c>
      <c r="E278" s="18" t="n">
        <v>50</v>
      </c>
      <c r="F278" s="18" t="n">
        <f aca="false">E278*0.5144</f>
        <v>25.72</v>
      </c>
      <c r="G278" s="22" t="e">
        <f aca="false">arclethnm(C277,D277,C278,D278)/6</f>
        <v>#NAME?</v>
      </c>
      <c r="H278" s="22" t="e">
        <f aca="false">G278*0.5144</f>
        <v>#NAME?</v>
      </c>
      <c r="I278" s="18" t="n">
        <v>0</v>
      </c>
    </row>
    <row r="279" customFormat="false" ht="12.75" hidden="false" customHeight="false" outlineLevel="0" collapsed="false">
      <c r="A279" s="18" t="n">
        <f aca="false">B279-0.25</f>
        <v>10.5</v>
      </c>
      <c r="B279" s="18" t="n">
        <f aca="false">B278+0.25</f>
        <v>10.75</v>
      </c>
      <c r="C279" s="18" t="n">
        <v>32</v>
      </c>
      <c r="D279" s="18" t="n">
        <v>-100.7</v>
      </c>
      <c r="E279" s="18" t="n">
        <v>35</v>
      </c>
      <c r="F279" s="18" t="n">
        <f aca="false">E279*0.5144</f>
        <v>18.004</v>
      </c>
      <c r="G279" s="22" t="e">
        <f aca="false">arclethnm(C278,D278,C279,D279)/6</f>
        <v>#NAME?</v>
      </c>
      <c r="H279" s="22" t="e">
        <f aca="false">G279*0.5144</f>
        <v>#NAME?</v>
      </c>
      <c r="I279" s="18" t="n">
        <v>0</v>
      </c>
    </row>
    <row r="280" customFormat="false" ht="12.75" hidden="false" customHeight="false" outlineLevel="0" collapsed="false">
      <c r="A280" s="18" t="n">
        <f aca="false">B280-0.25</f>
        <v>10.75</v>
      </c>
      <c r="B280" s="18" t="n">
        <f aca="false">B279+0.25</f>
        <v>11</v>
      </c>
      <c r="C280" s="18" t="n">
        <v>33.5</v>
      </c>
      <c r="D280" s="18" t="n">
        <v>-101.3</v>
      </c>
      <c r="E280" s="18" t="n">
        <v>25</v>
      </c>
      <c r="F280" s="18" t="n">
        <f aca="false">E280*0.5144</f>
        <v>12.86</v>
      </c>
      <c r="G280" s="22" t="e">
        <f aca="false">arclethnm(C279,D279,C280,D280)/6</f>
        <v>#NAME?</v>
      </c>
      <c r="H280" s="22" t="e">
        <f aca="false">G280*0.5144</f>
        <v>#NAME?</v>
      </c>
      <c r="I280" s="18" t="n">
        <v>0</v>
      </c>
    </row>
    <row r="281" customFormat="false" ht="12.75" hidden="false" customHeight="false" outlineLevel="0" collapsed="false">
      <c r="A281" s="0"/>
      <c r="B281" s="0"/>
      <c r="C281" s="0"/>
      <c r="D281" s="0"/>
      <c r="E281" s="0"/>
      <c r="F281" s="0"/>
      <c r="G281" s="22"/>
      <c r="H281" s="22"/>
      <c r="I281" s="0"/>
    </row>
    <row r="282" customFormat="false" ht="12.75" hidden="false" customHeight="false" outlineLevel="0" collapsed="false">
      <c r="A282" s="0"/>
      <c r="B282" s="0"/>
      <c r="C282" s="0"/>
      <c r="D282" s="0"/>
      <c r="E282" s="0"/>
      <c r="F282" s="0"/>
      <c r="G282" s="22"/>
      <c r="H282" s="22"/>
      <c r="I282" s="0"/>
    </row>
    <row r="283" customFormat="false" ht="12.75" hidden="false" customHeight="false" outlineLevel="0" collapsed="false">
      <c r="A283" s="0"/>
      <c r="B283" s="0"/>
      <c r="C283" s="0"/>
      <c r="D283" s="0"/>
      <c r="E283" s="0"/>
      <c r="F283" s="0"/>
      <c r="G283" s="22"/>
      <c r="H283" s="22"/>
      <c r="I283" s="0"/>
    </row>
    <row r="284" customFormat="false" ht="12.75" hidden="false" customHeight="false" outlineLevel="0" collapsed="false">
      <c r="A284" s="0"/>
      <c r="B284" s="0"/>
      <c r="C284" s="0"/>
      <c r="D284" s="0"/>
      <c r="E284" s="0"/>
      <c r="F284" s="0"/>
      <c r="G284" s="22"/>
      <c r="H284" s="22"/>
      <c r="I284" s="0"/>
    </row>
    <row r="285" customFormat="false" ht="12.75" hidden="false" customHeight="false" outlineLevel="0" collapsed="false">
      <c r="A285" s="0"/>
      <c r="B285" s="20" t="n">
        <v>1886</v>
      </c>
      <c r="C285" s="20" t="s">
        <v>18</v>
      </c>
      <c r="D285" s="20" t="s">
        <v>75</v>
      </c>
      <c r="E285" s="0"/>
      <c r="F285" s="0"/>
      <c r="G285" s="22"/>
      <c r="H285" s="22"/>
      <c r="I285" s="0"/>
    </row>
    <row r="286" customFormat="false" ht="12.75" hidden="false" customHeight="false" outlineLevel="0" collapsed="false">
      <c r="A286" s="0"/>
      <c r="B286" s="0"/>
      <c r="C286" s="0"/>
      <c r="D286" s="0"/>
      <c r="E286" s="0"/>
      <c r="F286" s="0"/>
      <c r="G286" s="22"/>
      <c r="H286" s="22"/>
      <c r="I286" s="0"/>
    </row>
    <row r="287" customFormat="false" ht="12.75" hidden="false" customHeight="false" outlineLevel="0" collapsed="false">
      <c r="A287" s="18" t="n">
        <v>1</v>
      </c>
      <c r="B287" s="18" t="n">
        <v>1</v>
      </c>
      <c r="C287" s="18" t="n">
        <v>21</v>
      </c>
      <c r="D287" s="18" t="n">
        <v>-65.5</v>
      </c>
      <c r="E287" s="18" t="n">
        <v>35</v>
      </c>
      <c r="F287" s="18" t="n">
        <f aca="false">E287*0.5144</f>
        <v>18.004</v>
      </c>
      <c r="G287" s="22"/>
      <c r="H287" s="22"/>
      <c r="I287" s="18" t="n">
        <v>0</v>
      </c>
    </row>
    <row r="288" customFormat="false" ht="12.75" hidden="false" customHeight="false" outlineLevel="0" collapsed="false">
      <c r="A288" s="18" t="n">
        <f aca="false">A287+0.25</f>
        <v>1.25</v>
      </c>
      <c r="B288" s="18" t="n">
        <f aca="false">B287+0.25</f>
        <v>1.25</v>
      </c>
      <c r="C288" s="18" t="n">
        <v>21</v>
      </c>
      <c r="D288" s="18" t="n">
        <v>-66.6</v>
      </c>
      <c r="E288" s="18" t="n">
        <v>35</v>
      </c>
      <c r="F288" s="18" t="n">
        <f aca="false">E288*0.5144</f>
        <v>18.004</v>
      </c>
      <c r="G288" s="22" t="e">
        <f aca="false">arclethnm(C287,D287,C288,D288)/6</f>
        <v>#NAME?</v>
      </c>
      <c r="H288" s="22" t="e">
        <f aca="false">G288*0.5144</f>
        <v>#NAME?</v>
      </c>
      <c r="I288" s="18" t="n">
        <v>0</v>
      </c>
    </row>
    <row r="289" customFormat="false" ht="12.75" hidden="false" customHeight="false" outlineLevel="0" collapsed="false">
      <c r="A289" s="18" t="n">
        <f aca="false">A288+0.25</f>
        <v>1.5</v>
      </c>
      <c r="B289" s="18" t="n">
        <f aca="false">B288+0.25</f>
        <v>1.5</v>
      </c>
      <c r="C289" s="18" t="n">
        <v>21</v>
      </c>
      <c r="D289" s="18" t="n">
        <v>-67.7</v>
      </c>
      <c r="E289" s="18" t="n">
        <v>35</v>
      </c>
      <c r="F289" s="18" t="n">
        <f aca="false">E289*0.5144</f>
        <v>18.004</v>
      </c>
      <c r="G289" s="22" t="e">
        <f aca="false">arclethnm(C288,D288,C289,D289)/6</f>
        <v>#NAME?</v>
      </c>
      <c r="H289" s="22" t="e">
        <f aca="false">G289*0.5144</f>
        <v>#NAME?</v>
      </c>
      <c r="I289" s="18" t="n">
        <v>0</v>
      </c>
    </row>
    <row r="290" customFormat="false" ht="12.75" hidden="false" customHeight="false" outlineLevel="0" collapsed="false">
      <c r="A290" s="18" t="n">
        <f aca="false">A289+0.25</f>
        <v>1.75</v>
      </c>
      <c r="B290" s="18" t="n">
        <f aca="false">B289+0.25</f>
        <v>1.75</v>
      </c>
      <c r="C290" s="18" t="n">
        <v>21</v>
      </c>
      <c r="D290" s="18" t="n">
        <v>-68.9</v>
      </c>
      <c r="E290" s="18" t="n">
        <v>35</v>
      </c>
      <c r="F290" s="18" t="n">
        <f aca="false">E290*0.5144</f>
        <v>18.004</v>
      </c>
      <c r="G290" s="22" t="e">
        <f aca="false">arclethnm(C289,D289,C290,D290)/6</f>
        <v>#NAME?</v>
      </c>
      <c r="H290" s="22" t="e">
        <f aca="false">G290*0.5144</f>
        <v>#NAME?</v>
      </c>
      <c r="I290" s="18" t="n">
        <v>0</v>
      </c>
    </row>
    <row r="291" customFormat="false" ht="12.75" hidden="false" customHeight="false" outlineLevel="0" collapsed="false">
      <c r="A291" s="18" t="n">
        <f aca="false">A290+0.25</f>
        <v>2</v>
      </c>
      <c r="B291" s="18" t="n">
        <f aca="false">B290+0.25</f>
        <v>2</v>
      </c>
      <c r="C291" s="18" t="n">
        <v>21</v>
      </c>
      <c r="D291" s="18" t="n">
        <v>-70.4</v>
      </c>
      <c r="E291" s="18" t="n">
        <v>40</v>
      </c>
      <c r="F291" s="18" t="n">
        <f aca="false">E291*0.5144</f>
        <v>20.576</v>
      </c>
      <c r="G291" s="22" t="e">
        <f aca="false">arclethnm(C290,D290,C291,D291)/6</f>
        <v>#NAME?</v>
      </c>
      <c r="H291" s="22" t="e">
        <f aca="false">G291*0.5144</f>
        <v>#NAME?</v>
      </c>
      <c r="I291" s="18" t="n">
        <v>0</v>
      </c>
    </row>
    <row r="292" customFormat="false" ht="12.75" hidden="false" customHeight="false" outlineLevel="0" collapsed="false">
      <c r="A292" s="18" t="n">
        <f aca="false">A291+0.25</f>
        <v>2.25</v>
      </c>
      <c r="B292" s="18" t="n">
        <f aca="false">B291+0.25</f>
        <v>2.25</v>
      </c>
      <c r="C292" s="18" t="n">
        <v>21</v>
      </c>
      <c r="D292" s="18" t="n">
        <v>-71.7</v>
      </c>
      <c r="E292" s="18" t="n">
        <v>40</v>
      </c>
      <c r="F292" s="18" t="n">
        <f aca="false">E292*0.5144</f>
        <v>20.576</v>
      </c>
      <c r="G292" s="22" t="e">
        <f aca="false">arclethnm(C291,D291,C292,D292)/6</f>
        <v>#NAME?</v>
      </c>
      <c r="H292" s="22" t="e">
        <f aca="false">G292*0.5144</f>
        <v>#NAME?</v>
      </c>
      <c r="I292" s="18" t="n">
        <v>0</v>
      </c>
    </row>
    <row r="293" customFormat="false" ht="12.75" hidden="false" customHeight="false" outlineLevel="0" collapsed="false">
      <c r="A293" s="18" t="n">
        <f aca="false">A292+0.25</f>
        <v>2.5</v>
      </c>
      <c r="B293" s="18" t="n">
        <f aca="false">B292+0.25</f>
        <v>2.5</v>
      </c>
      <c r="C293" s="18" t="n">
        <v>21</v>
      </c>
      <c r="D293" s="18" t="n">
        <v>-73</v>
      </c>
      <c r="E293" s="18" t="n">
        <v>45</v>
      </c>
      <c r="F293" s="18" t="n">
        <f aca="false">E293*0.5144</f>
        <v>23.148</v>
      </c>
      <c r="G293" s="22" t="e">
        <f aca="false">arclethnm(C292,D292,C293,D293)/6</f>
        <v>#NAME?</v>
      </c>
      <c r="H293" s="22" t="e">
        <f aca="false">G293*0.5144</f>
        <v>#NAME?</v>
      </c>
      <c r="I293" s="18" t="n">
        <v>0</v>
      </c>
    </row>
    <row r="294" customFormat="false" ht="12.75" hidden="false" customHeight="false" outlineLevel="0" collapsed="false">
      <c r="A294" s="18" t="n">
        <f aca="false">A293+0.25</f>
        <v>2.75</v>
      </c>
      <c r="B294" s="18" t="n">
        <f aca="false">B293+0.25</f>
        <v>2.75</v>
      </c>
      <c r="C294" s="18" t="n">
        <v>21</v>
      </c>
      <c r="D294" s="18" t="n">
        <v>-74.7</v>
      </c>
      <c r="E294" s="18" t="n">
        <v>45</v>
      </c>
      <c r="F294" s="18" t="n">
        <f aca="false">E294*0.5144</f>
        <v>23.148</v>
      </c>
      <c r="G294" s="22" t="e">
        <f aca="false">arclethnm(C293,D293,C294,D294)/6</f>
        <v>#NAME?</v>
      </c>
      <c r="H294" s="22" t="e">
        <f aca="false">G294*0.5144</f>
        <v>#NAME?</v>
      </c>
      <c r="I294" s="18" t="n">
        <v>0</v>
      </c>
    </row>
    <row r="295" customFormat="false" ht="12.75" hidden="false" customHeight="false" outlineLevel="0" collapsed="false">
      <c r="A295" s="18" t="n">
        <f aca="false">A294+0.25</f>
        <v>3</v>
      </c>
      <c r="B295" s="18" t="n">
        <f aca="false">B294+0.25</f>
        <v>3</v>
      </c>
      <c r="C295" s="18" t="n">
        <v>21</v>
      </c>
      <c r="D295" s="18" t="n">
        <v>-76.3</v>
      </c>
      <c r="E295" s="18" t="n">
        <v>40</v>
      </c>
      <c r="F295" s="18" t="n">
        <f aca="false">E295*0.5144</f>
        <v>20.576</v>
      </c>
      <c r="G295" s="22" t="e">
        <f aca="false">arclethnm(C294,D294,C295,D295)/6</f>
        <v>#NAME?</v>
      </c>
      <c r="H295" s="22" t="e">
        <f aca="false">G295*0.5144</f>
        <v>#NAME?</v>
      </c>
      <c r="I295" s="18" t="n">
        <v>0</v>
      </c>
    </row>
    <row r="296" customFormat="false" ht="12.75" hidden="false" customHeight="false" outlineLevel="0" collapsed="false">
      <c r="A296" s="18" t="n">
        <f aca="false">A295+0.25</f>
        <v>3.25</v>
      </c>
      <c r="B296" s="18" t="n">
        <f aca="false">B295+0.25</f>
        <v>3.25</v>
      </c>
      <c r="C296" s="18" t="n">
        <v>21</v>
      </c>
      <c r="D296" s="18" t="n">
        <v>-77.5</v>
      </c>
      <c r="E296" s="18" t="n">
        <v>35</v>
      </c>
      <c r="F296" s="18" t="n">
        <f aca="false">E296*0.5144</f>
        <v>18.004</v>
      </c>
      <c r="G296" s="22" t="e">
        <f aca="false">arclethnm(C295,D295,C296,D296)/6</f>
        <v>#NAME?</v>
      </c>
      <c r="H296" s="22" t="e">
        <f aca="false">G296*0.5144</f>
        <v>#NAME?</v>
      </c>
      <c r="I296" s="18" t="n">
        <v>0</v>
      </c>
    </row>
    <row r="297" customFormat="false" ht="12.75" hidden="false" customHeight="false" outlineLevel="0" collapsed="false">
      <c r="A297" s="18" t="n">
        <f aca="false">A296+0.25</f>
        <v>3.5</v>
      </c>
      <c r="B297" s="18" t="n">
        <f aca="false">B296+0.25</f>
        <v>3.5</v>
      </c>
      <c r="C297" s="18" t="n">
        <v>21</v>
      </c>
      <c r="D297" s="18" t="n">
        <v>-79</v>
      </c>
      <c r="E297" s="18" t="n">
        <v>35</v>
      </c>
      <c r="F297" s="18" t="n">
        <f aca="false">E297*0.5144</f>
        <v>18.004</v>
      </c>
      <c r="G297" s="22" t="e">
        <f aca="false">arclethnm(C296,D296,C297,D297)/6</f>
        <v>#NAME?</v>
      </c>
      <c r="H297" s="22" t="e">
        <f aca="false">G297*0.5144</f>
        <v>#NAME?</v>
      </c>
      <c r="I297" s="18" t="n">
        <v>0</v>
      </c>
    </row>
    <row r="298" customFormat="false" ht="12.75" hidden="false" customHeight="false" outlineLevel="0" collapsed="false">
      <c r="A298" s="18" t="n">
        <f aca="false">A297+0.25</f>
        <v>3.75</v>
      </c>
      <c r="B298" s="18" t="n">
        <f aca="false">B297+0.25</f>
        <v>3.75</v>
      </c>
      <c r="C298" s="18" t="n">
        <v>21.2</v>
      </c>
      <c r="D298" s="18" t="n">
        <v>-80.5</v>
      </c>
      <c r="E298" s="18" t="n">
        <v>40</v>
      </c>
      <c r="F298" s="18" t="n">
        <f aca="false">E298*0.5144</f>
        <v>20.576</v>
      </c>
      <c r="G298" s="22" t="e">
        <f aca="false">arclethnm(C297,D297,C298,D298)/6</f>
        <v>#NAME?</v>
      </c>
      <c r="H298" s="22" t="e">
        <f aca="false">G298*0.5144</f>
        <v>#NAME?</v>
      </c>
      <c r="I298" s="18" t="n">
        <v>0</v>
      </c>
    </row>
    <row r="299" customFormat="false" ht="12.75" hidden="false" customHeight="false" outlineLevel="0" collapsed="false">
      <c r="A299" s="18" t="n">
        <f aca="false">A298+0.25</f>
        <v>4</v>
      </c>
      <c r="B299" s="18" t="n">
        <f aca="false">B298+0.25</f>
        <v>4</v>
      </c>
      <c r="C299" s="18" t="n">
        <v>21.3</v>
      </c>
      <c r="D299" s="18" t="n">
        <v>-81.9</v>
      </c>
      <c r="E299" s="18" t="n">
        <v>45</v>
      </c>
      <c r="F299" s="18" t="n">
        <f aca="false">E299*0.5144</f>
        <v>23.148</v>
      </c>
      <c r="G299" s="22" t="e">
        <f aca="false">arclethnm(C298,D298,C299,D299)/6</f>
        <v>#NAME?</v>
      </c>
      <c r="H299" s="22" t="e">
        <f aca="false">G299*0.5144</f>
        <v>#NAME?</v>
      </c>
      <c r="I299" s="18" t="n">
        <v>0</v>
      </c>
    </row>
    <row r="300" customFormat="false" ht="12.75" hidden="false" customHeight="false" outlineLevel="0" collapsed="false">
      <c r="A300" s="18" t="n">
        <f aca="false">A299+0.25</f>
        <v>4.25</v>
      </c>
      <c r="B300" s="18" t="n">
        <f aca="false">B299+0.25</f>
        <v>4.25</v>
      </c>
      <c r="C300" s="18" t="n">
        <v>21.4</v>
      </c>
      <c r="D300" s="18" t="n">
        <v>-83</v>
      </c>
      <c r="E300" s="18" t="n">
        <v>50</v>
      </c>
      <c r="F300" s="18" t="n">
        <f aca="false">E300*0.5144</f>
        <v>25.72</v>
      </c>
      <c r="G300" s="22" t="e">
        <f aca="false">arclethnm(C299,D299,C300,D300)/6</f>
        <v>#NAME?</v>
      </c>
      <c r="H300" s="22" t="e">
        <f aca="false">G300*0.5144</f>
        <v>#NAME?</v>
      </c>
      <c r="I300" s="18" t="n">
        <v>0</v>
      </c>
    </row>
    <row r="301" customFormat="false" ht="12.75" hidden="false" customHeight="false" outlineLevel="0" collapsed="false">
      <c r="A301" s="18" t="n">
        <f aca="false">A300+0.25</f>
        <v>4.5</v>
      </c>
      <c r="B301" s="18" t="n">
        <f aca="false">B300+0.25</f>
        <v>4.5</v>
      </c>
      <c r="C301" s="18" t="n">
        <v>21.5</v>
      </c>
      <c r="D301" s="18" t="n">
        <v>-84.3</v>
      </c>
      <c r="E301" s="18" t="n">
        <v>55</v>
      </c>
      <c r="F301" s="18" t="n">
        <f aca="false">E301*0.5144</f>
        <v>28.292</v>
      </c>
      <c r="G301" s="22" t="e">
        <f aca="false">arclethnm(C300,D300,C301,D301)/6</f>
        <v>#NAME?</v>
      </c>
      <c r="H301" s="22" t="e">
        <f aca="false">G301*0.5144</f>
        <v>#NAME?</v>
      </c>
      <c r="I301" s="18" t="n">
        <v>0</v>
      </c>
    </row>
    <row r="302" customFormat="false" ht="12.75" hidden="false" customHeight="false" outlineLevel="0" collapsed="false">
      <c r="A302" s="18" t="n">
        <f aca="false">A301+0.25</f>
        <v>4.75</v>
      </c>
      <c r="B302" s="18" t="n">
        <f aca="false">B301+0.25</f>
        <v>4.75</v>
      </c>
      <c r="C302" s="18" t="n">
        <v>21.7</v>
      </c>
      <c r="D302" s="18" t="n">
        <v>-85.7</v>
      </c>
      <c r="E302" s="18" t="n">
        <v>60</v>
      </c>
      <c r="F302" s="18" t="n">
        <f aca="false">E302*0.5144</f>
        <v>30.864</v>
      </c>
      <c r="G302" s="22" t="e">
        <f aca="false">arclethnm(C301,D301,C302,D302)/6</f>
        <v>#NAME?</v>
      </c>
      <c r="H302" s="22" t="e">
        <f aca="false">G302*0.5144</f>
        <v>#NAME?</v>
      </c>
      <c r="I302" s="18" t="n">
        <v>0</v>
      </c>
    </row>
    <row r="303" customFormat="false" ht="12.75" hidden="false" customHeight="false" outlineLevel="0" collapsed="false">
      <c r="A303" s="18" t="n">
        <f aca="false">A302+0.25</f>
        <v>5</v>
      </c>
      <c r="B303" s="18" t="n">
        <f aca="false">B302+0.25</f>
        <v>5</v>
      </c>
      <c r="C303" s="18" t="n">
        <v>22</v>
      </c>
      <c r="D303" s="18" t="n">
        <v>-87</v>
      </c>
      <c r="E303" s="18" t="n">
        <v>65</v>
      </c>
      <c r="F303" s="18" t="n">
        <f aca="false">E303*0.5144</f>
        <v>33.436</v>
      </c>
      <c r="G303" s="22" t="e">
        <f aca="false">arclethnm(C302,D302,C303,D303)/6</f>
        <v>#NAME?</v>
      </c>
      <c r="H303" s="22" t="e">
        <f aca="false">G303*0.5144</f>
        <v>#NAME?</v>
      </c>
      <c r="I303" s="18" t="n">
        <v>0</v>
      </c>
    </row>
    <row r="304" customFormat="false" ht="12.75" hidden="false" customHeight="false" outlineLevel="0" collapsed="false">
      <c r="A304" s="18" t="n">
        <f aca="false">A303+0.25</f>
        <v>5.25</v>
      </c>
      <c r="B304" s="18" t="n">
        <f aca="false">B303+0.25</f>
        <v>5.25</v>
      </c>
      <c r="C304" s="18" t="n">
        <v>22.2</v>
      </c>
      <c r="D304" s="18" t="n">
        <v>-88.3</v>
      </c>
      <c r="E304" s="18" t="n">
        <v>70</v>
      </c>
      <c r="F304" s="18" t="n">
        <f aca="false">E304*0.5144</f>
        <v>36.008</v>
      </c>
      <c r="G304" s="22" t="e">
        <f aca="false">arclethnm(C303,D303,C304,D304)/6</f>
        <v>#NAME?</v>
      </c>
      <c r="H304" s="22" t="e">
        <f aca="false">G304*0.5144</f>
        <v>#NAME?</v>
      </c>
      <c r="I304" s="18" t="n">
        <v>0</v>
      </c>
    </row>
    <row r="305" customFormat="false" ht="12.75" hidden="false" customHeight="false" outlineLevel="0" collapsed="false">
      <c r="A305" s="18" t="n">
        <f aca="false">A304+0.25</f>
        <v>5.5</v>
      </c>
      <c r="B305" s="18" t="n">
        <f aca="false">B304+0.25</f>
        <v>5.5</v>
      </c>
      <c r="C305" s="18" t="n">
        <v>22.3</v>
      </c>
      <c r="D305" s="18" t="n">
        <v>-89.7</v>
      </c>
      <c r="E305" s="18" t="n">
        <v>75</v>
      </c>
      <c r="F305" s="18" t="n">
        <f aca="false">E305*0.5144</f>
        <v>38.58</v>
      </c>
      <c r="G305" s="22" t="e">
        <f aca="false">arclethnm(C304,D304,C305,D305)/6</f>
        <v>#NAME?</v>
      </c>
      <c r="H305" s="22" t="e">
        <f aca="false">G305*0.5144</f>
        <v>#NAME?</v>
      </c>
      <c r="I305" s="18" t="n">
        <v>0</v>
      </c>
    </row>
    <row r="306" customFormat="false" ht="12.75" hidden="false" customHeight="false" outlineLevel="0" collapsed="false">
      <c r="A306" s="18" t="n">
        <f aca="false">A305+0.25</f>
        <v>5.75</v>
      </c>
      <c r="B306" s="18" t="n">
        <f aca="false">B305+0.25</f>
        <v>5.75</v>
      </c>
      <c r="C306" s="18" t="n">
        <v>22.3</v>
      </c>
      <c r="D306" s="18" t="n">
        <v>-90.9</v>
      </c>
      <c r="E306" s="18" t="n">
        <v>80</v>
      </c>
      <c r="F306" s="18" t="n">
        <f aca="false">E306*0.5144</f>
        <v>41.152</v>
      </c>
      <c r="G306" s="22" t="e">
        <f aca="false">arclethnm(C305,D305,C306,D306)/6</f>
        <v>#NAME?</v>
      </c>
      <c r="H306" s="22" t="e">
        <f aca="false">G306*0.5144</f>
        <v>#NAME?</v>
      </c>
      <c r="I306" s="18" t="n">
        <v>0</v>
      </c>
    </row>
    <row r="307" customFormat="false" ht="12.75" hidden="false" customHeight="false" outlineLevel="0" collapsed="false">
      <c r="A307" s="18" t="n">
        <f aca="false">A306+0.25</f>
        <v>6</v>
      </c>
      <c r="B307" s="18" t="n">
        <f aca="false">B306+0.25</f>
        <v>6</v>
      </c>
      <c r="C307" s="18" t="n">
        <v>22.3</v>
      </c>
      <c r="D307" s="18" t="n">
        <v>-92.1</v>
      </c>
      <c r="E307" s="18" t="n">
        <v>85</v>
      </c>
      <c r="F307" s="18" t="n">
        <f aca="false">E307*0.5144</f>
        <v>43.724</v>
      </c>
      <c r="G307" s="22" t="e">
        <f aca="false">arclethnm(C306,D306,C307,D307)/6</f>
        <v>#NAME?</v>
      </c>
      <c r="H307" s="22" t="e">
        <f aca="false">G307*0.5144</f>
        <v>#NAME?</v>
      </c>
      <c r="I307" s="18" t="n">
        <v>0</v>
      </c>
    </row>
    <row r="308" customFormat="false" ht="12.75" hidden="false" customHeight="false" outlineLevel="0" collapsed="false">
      <c r="A308" s="18" t="n">
        <f aca="false">A307+0.25</f>
        <v>6.25</v>
      </c>
      <c r="B308" s="18" t="n">
        <f aca="false">B307+0.25</f>
        <v>6.25</v>
      </c>
      <c r="C308" s="18" t="n">
        <v>22.4</v>
      </c>
      <c r="D308" s="18" t="n">
        <v>-93.3</v>
      </c>
      <c r="E308" s="18" t="n">
        <v>85</v>
      </c>
      <c r="F308" s="18" t="n">
        <f aca="false">E308*0.5144</f>
        <v>43.724</v>
      </c>
      <c r="G308" s="22" t="e">
        <f aca="false">arclethnm(C307,D307,C308,D308)/6</f>
        <v>#NAME?</v>
      </c>
      <c r="H308" s="22" t="e">
        <f aca="false">G308*0.5144</f>
        <v>#NAME?</v>
      </c>
      <c r="I308" s="18" t="n">
        <v>0</v>
      </c>
    </row>
    <row r="309" customFormat="false" ht="12.75" hidden="false" customHeight="false" outlineLevel="0" collapsed="false">
      <c r="A309" s="18" t="n">
        <f aca="false">A308+0.25</f>
        <v>6.5</v>
      </c>
      <c r="B309" s="18" t="n">
        <f aca="false">B308+0.25</f>
        <v>6.5</v>
      </c>
      <c r="C309" s="18" t="n">
        <v>22.5</v>
      </c>
      <c r="D309" s="18" t="n">
        <v>-94.7</v>
      </c>
      <c r="E309" s="18" t="n">
        <v>85</v>
      </c>
      <c r="F309" s="18" t="n">
        <f aca="false">E309*0.5144</f>
        <v>43.724</v>
      </c>
      <c r="G309" s="22" t="e">
        <f aca="false">arclethnm(C308,D308,C309,D309)/6</f>
        <v>#NAME?</v>
      </c>
      <c r="H309" s="22" t="e">
        <f aca="false">G309*0.5144</f>
        <v>#NAME?</v>
      </c>
      <c r="I309" s="18" t="n">
        <v>0</v>
      </c>
    </row>
    <row r="310" customFormat="false" ht="12.75" hidden="false" customHeight="false" outlineLevel="0" collapsed="false">
      <c r="A310" s="18" t="n">
        <f aca="false">A309+0.25</f>
        <v>6.75</v>
      </c>
      <c r="B310" s="18" t="n">
        <f aca="false">B309+0.25</f>
        <v>6.75</v>
      </c>
      <c r="C310" s="18" t="n">
        <v>22.8</v>
      </c>
      <c r="D310" s="18" t="n">
        <v>-95.4</v>
      </c>
      <c r="E310" s="18" t="n">
        <v>85</v>
      </c>
      <c r="F310" s="18" t="n">
        <f aca="false">E310*0.5144</f>
        <v>43.724</v>
      </c>
      <c r="G310" s="22" t="e">
        <f aca="false">arclethnm(C309,D309,C310,D310)/6</f>
        <v>#NAME?</v>
      </c>
      <c r="H310" s="22" t="e">
        <f aca="false">G310*0.5144</f>
        <v>#NAME?</v>
      </c>
      <c r="I310" s="18" t="n">
        <v>0</v>
      </c>
    </row>
    <row r="311" customFormat="false" ht="12.75" hidden="false" customHeight="false" outlineLevel="0" collapsed="false">
      <c r="A311" s="18" t="n">
        <f aca="false">A310+0.25</f>
        <v>7</v>
      </c>
      <c r="B311" s="18" t="n">
        <f aca="false">B310+0.25</f>
        <v>7</v>
      </c>
      <c r="C311" s="18" t="n">
        <v>23.4</v>
      </c>
      <c r="D311" s="18" t="n">
        <v>-96</v>
      </c>
      <c r="E311" s="18" t="n">
        <v>85</v>
      </c>
      <c r="F311" s="18" t="n">
        <f aca="false">E311*0.5144</f>
        <v>43.724</v>
      </c>
      <c r="G311" s="22" t="e">
        <f aca="false">arclethnm(C310,D310,C311,D311)/6</f>
        <v>#NAME?</v>
      </c>
      <c r="H311" s="22" t="e">
        <f aca="false">G311*0.5144</f>
        <v>#NAME?</v>
      </c>
      <c r="I311" s="18" t="n">
        <v>0</v>
      </c>
    </row>
    <row r="312" customFormat="false" ht="12.75" hidden="false" customHeight="false" outlineLevel="0" collapsed="false">
      <c r="A312" s="18" t="n">
        <f aca="false">A311+0.25</f>
        <v>7.25</v>
      </c>
      <c r="B312" s="18" t="n">
        <f aca="false">B311+0.25</f>
        <v>7.25</v>
      </c>
      <c r="C312" s="18" t="n">
        <v>24</v>
      </c>
      <c r="D312" s="18" t="n">
        <v>-96.5</v>
      </c>
      <c r="E312" s="18" t="n">
        <v>85</v>
      </c>
      <c r="F312" s="18" t="n">
        <f aca="false">E312*0.5144</f>
        <v>43.724</v>
      </c>
      <c r="G312" s="22" t="e">
        <f aca="false">arclethnm(C311,D311,C312,D312)/6</f>
        <v>#NAME?</v>
      </c>
      <c r="H312" s="22" t="e">
        <f aca="false">G312*0.5144</f>
        <v>#NAME?</v>
      </c>
      <c r="I312" s="18" t="n">
        <v>0</v>
      </c>
    </row>
    <row r="313" customFormat="false" ht="12.75" hidden="false" customHeight="false" outlineLevel="0" collapsed="false">
      <c r="A313" s="18" t="n">
        <f aca="false">A312+0.25</f>
        <v>7.5</v>
      </c>
      <c r="B313" s="18" t="n">
        <f aca="false">B312+0.25</f>
        <v>7.5</v>
      </c>
      <c r="C313" s="18" t="n">
        <v>24.4</v>
      </c>
      <c r="D313" s="18" t="n">
        <v>-96.7</v>
      </c>
      <c r="E313" s="18" t="n">
        <v>85</v>
      </c>
      <c r="F313" s="18" t="n">
        <f aca="false">E313*0.5144</f>
        <v>43.724</v>
      </c>
      <c r="G313" s="22" t="e">
        <f aca="false">arclethnm(C312,D312,C313,D313)/6</f>
        <v>#NAME?</v>
      </c>
      <c r="H313" s="22" t="e">
        <f aca="false">G313*0.5144</f>
        <v>#NAME?</v>
      </c>
      <c r="I313" s="18" t="n">
        <v>0</v>
      </c>
    </row>
    <row r="314" customFormat="false" ht="12.75" hidden="false" customHeight="false" outlineLevel="0" collapsed="false">
      <c r="A314" s="18" t="n">
        <f aca="false">A313+0.25</f>
        <v>7.75</v>
      </c>
      <c r="B314" s="18" t="n">
        <f aca="false">B313+0.25</f>
        <v>7.75</v>
      </c>
      <c r="C314" s="18" t="n">
        <v>24.9</v>
      </c>
      <c r="D314" s="18" t="n">
        <v>-96.9</v>
      </c>
      <c r="E314" s="18" t="n">
        <v>85</v>
      </c>
      <c r="F314" s="18" t="n">
        <f aca="false">E314*0.5144</f>
        <v>43.724</v>
      </c>
      <c r="G314" s="22" t="e">
        <f aca="false">arclethnm(C313,D313,C314,D314)/6</f>
        <v>#NAME?</v>
      </c>
      <c r="H314" s="22" t="e">
        <f aca="false">G314*0.5144</f>
        <v>#NAME?</v>
      </c>
      <c r="I314" s="18" t="n">
        <v>0</v>
      </c>
    </row>
    <row r="315" customFormat="false" ht="12.75" hidden="false" customHeight="false" outlineLevel="0" collapsed="false">
      <c r="A315" s="18" t="n">
        <f aca="false">A314+0.25</f>
        <v>8</v>
      </c>
      <c r="B315" s="18" t="n">
        <f aca="false">B314+0.25</f>
        <v>8</v>
      </c>
      <c r="C315" s="18" t="n">
        <v>25.4</v>
      </c>
      <c r="D315" s="18" t="n">
        <v>-97.1</v>
      </c>
      <c r="E315" s="18" t="n">
        <v>85</v>
      </c>
      <c r="F315" s="18" t="n">
        <f aca="false">E315*0.5144</f>
        <v>43.724</v>
      </c>
      <c r="G315" s="22" t="e">
        <f aca="false">arclethnm(C314,D314,C315,D315)/6</f>
        <v>#NAME?</v>
      </c>
      <c r="H315" s="22" t="e">
        <f aca="false">G315*0.5144</f>
        <v>#NAME?</v>
      </c>
      <c r="I315" s="18" t="n">
        <v>0</v>
      </c>
    </row>
    <row r="316" customFormat="false" ht="12.75" hidden="false" customHeight="false" outlineLevel="0" collapsed="false">
      <c r="A316" s="18" t="n">
        <f aca="false">A315+0.25</f>
        <v>8.25</v>
      </c>
      <c r="B316" s="18" t="n">
        <f aca="false">B315+0.25</f>
        <v>8.25</v>
      </c>
      <c r="C316" s="18" t="n">
        <v>25.9</v>
      </c>
      <c r="D316" s="18" t="n">
        <v>-97.2</v>
      </c>
      <c r="E316" s="18" t="n">
        <v>85</v>
      </c>
      <c r="F316" s="18" t="n">
        <f aca="false">E316*0.5144</f>
        <v>43.724</v>
      </c>
      <c r="G316" s="22" t="e">
        <f aca="false">arclethnm(C315,D315,C316,D316)/6</f>
        <v>#NAME?</v>
      </c>
      <c r="H316" s="22" t="e">
        <f aca="false">G316*0.5144</f>
        <v>#NAME?</v>
      </c>
      <c r="I316" s="18" t="n">
        <v>0</v>
      </c>
    </row>
    <row r="317" customFormat="false" ht="12.75" hidden="false" customHeight="false" outlineLevel="0" collapsed="false">
      <c r="A317" s="18" t="n">
        <f aca="false">A316+0.25</f>
        <v>8.5</v>
      </c>
      <c r="B317" s="18" t="n">
        <f aca="false">B316+0.25</f>
        <v>8.5</v>
      </c>
      <c r="C317" s="18" t="n">
        <v>26.5</v>
      </c>
      <c r="D317" s="18" t="n">
        <v>-97.4</v>
      </c>
      <c r="E317" s="18" t="n">
        <v>80</v>
      </c>
      <c r="F317" s="18" t="n">
        <f aca="false">E317*0.5144</f>
        <v>41.152</v>
      </c>
      <c r="G317" s="22" t="e">
        <f aca="false">arclethnm(C316,D316,C317,D317)/6</f>
        <v>#NAME?</v>
      </c>
      <c r="H317" s="22" t="e">
        <f aca="false">G317*0.5144</f>
        <v>#NAME?</v>
      </c>
      <c r="I317" s="18" t="n">
        <v>0</v>
      </c>
    </row>
    <row r="318" customFormat="false" ht="12.75" hidden="false" customHeight="false" outlineLevel="0" collapsed="false">
      <c r="A318" s="18" t="n">
        <f aca="false">A317+0.25</f>
        <v>8.75</v>
      </c>
      <c r="B318" s="18" t="n">
        <f aca="false">B317+0.25</f>
        <v>8.75</v>
      </c>
      <c r="C318" s="18" t="n">
        <v>27.1</v>
      </c>
      <c r="D318" s="18" t="n">
        <v>-97.5</v>
      </c>
      <c r="E318" s="18" t="n">
        <v>75</v>
      </c>
      <c r="F318" s="18" t="n">
        <f aca="false">E318*0.5144</f>
        <v>38.58</v>
      </c>
      <c r="G318" s="22" t="e">
        <f aca="false">arclethnm(C317,D317,C318,D318)/6</f>
        <v>#NAME?</v>
      </c>
      <c r="H318" s="22" t="e">
        <f aca="false">G318*0.5144</f>
        <v>#NAME?</v>
      </c>
      <c r="I318" s="18" t="n">
        <v>0</v>
      </c>
    </row>
    <row r="319" customFormat="false" ht="12.75" hidden="false" customHeight="false" outlineLevel="0" collapsed="false">
      <c r="A319" s="18" t="n">
        <f aca="false">A318+0.25</f>
        <v>9</v>
      </c>
      <c r="B319" s="18" t="n">
        <f aca="false">B318+0.25</f>
        <v>9</v>
      </c>
      <c r="C319" s="18" t="n">
        <v>27.8</v>
      </c>
      <c r="D319" s="18" t="n">
        <v>-97.5</v>
      </c>
      <c r="E319" s="18" t="n">
        <v>70</v>
      </c>
      <c r="F319" s="18" t="n">
        <f aca="false">E319*0.5144</f>
        <v>36.008</v>
      </c>
      <c r="G319" s="22" t="e">
        <f aca="false">arclethnm(C318,D318,C319,D319)/6</f>
        <v>#NAME?</v>
      </c>
      <c r="H319" s="22" t="e">
        <f aca="false">G319*0.5144</f>
        <v>#NAME?</v>
      </c>
      <c r="I319" s="18" t="n">
        <v>0</v>
      </c>
    </row>
    <row r="320" customFormat="false" ht="12.75" hidden="false" customHeight="false" outlineLevel="0" collapsed="false">
      <c r="A320" s="18" t="n">
        <f aca="false">A319+0.25</f>
        <v>9.25</v>
      </c>
      <c r="B320" s="18" t="n">
        <f aca="false">B319+0.25</f>
        <v>9.25</v>
      </c>
      <c r="C320" s="18" t="n">
        <v>28.5</v>
      </c>
      <c r="D320" s="18" t="n">
        <v>-97.4</v>
      </c>
      <c r="E320" s="18" t="n">
        <v>65</v>
      </c>
      <c r="F320" s="18" t="n">
        <f aca="false">E320*0.5144</f>
        <v>33.436</v>
      </c>
      <c r="G320" s="22" t="e">
        <f aca="false">arclethnm(C319,D319,C320,D320)/6</f>
        <v>#NAME?</v>
      </c>
      <c r="H320" s="22" t="e">
        <f aca="false">G320*0.5144</f>
        <v>#NAME?</v>
      </c>
      <c r="I320" s="18" t="n">
        <v>0</v>
      </c>
    </row>
    <row r="321" customFormat="false" ht="12.75" hidden="false" customHeight="false" outlineLevel="0" collapsed="false">
      <c r="A321" s="18" t="n">
        <f aca="false">A320+0.25</f>
        <v>9.5</v>
      </c>
      <c r="B321" s="18" t="n">
        <f aca="false">B320+0.25</f>
        <v>9.5</v>
      </c>
      <c r="C321" s="18" t="n">
        <v>29.2</v>
      </c>
      <c r="D321" s="18" t="n">
        <v>-97.3</v>
      </c>
      <c r="E321" s="18" t="n">
        <v>45</v>
      </c>
      <c r="F321" s="18" t="n">
        <f aca="false">E321*0.5144</f>
        <v>23.148</v>
      </c>
      <c r="G321" s="22" t="e">
        <f aca="false">arclethnm(C320,D320,C321,D321)/6</f>
        <v>#NAME?</v>
      </c>
      <c r="H321" s="22" t="e">
        <f aca="false">G321*0.5144</f>
        <v>#NAME?</v>
      </c>
      <c r="I321" s="18" t="n">
        <v>0</v>
      </c>
    </row>
    <row r="322" customFormat="false" ht="12.75" hidden="false" customHeight="false" outlineLevel="0" collapsed="false">
      <c r="A322" s="18" t="n">
        <f aca="false">A321+0.25</f>
        <v>9.75</v>
      </c>
      <c r="B322" s="18" t="n">
        <f aca="false">B321+0.25</f>
        <v>9.75</v>
      </c>
      <c r="C322" s="18" t="n">
        <v>30</v>
      </c>
      <c r="D322" s="18" t="n">
        <v>-97</v>
      </c>
      <c r="E322" s="18" t="n">
        <v>30</v>
      </c>
      <c r="F322" s="18" t="n">
        <f aca="false">E322*0.5144</f>
        <v>15.432</v>
      </c>
      <c r="G322" s="22" t="e">
        <f aca="false">arclethnm(C321,D321,C322,D322)/6</f>
        <v>#NAME?</v>
      </c>
      <c r="H322" s="22" t="e">
        <f aca="false">G322*0.5144</f>
        <v>#NAME?</v>
      </c>
      <c r="I322" s="18" t="n">
        <v>0</v>
      </c>
    </row>
    <row r="323" customFormat="false" ht="12.75" hidden="false" customHeight="false" outlineLevel="0" collapsed="false">
      <c r="A323" s="0"/>
      <c r="B323" s="0"/>
      <c r="C323" s="0"/>
      <c r="D323" s="0"/>
      <c r="E323" s="0"/>
      <c r="F323" s="0"/>
      <c r="G323" s="22"/>
      <c r="H323" s="22"/>
      <c r="I323" s="0"/>
    </row>
    <row r="324" customFormat="false" ht="12.75" hidden="false" customHeight="false" outlineLevel="0" collapsed="false">
      <c r="A324" s="0"/>
      <c r="B324" s="0"/>
      <c r="C324" s="0"/>
      <c r="D324" s="0"/>
      <c r="E324" s="0"/>
      <c r="F324" s="0"/>
      <c r="G324" s="22"/>
      <c r="H324" s="22"/>
      <c r="I324" s="0"/>
    </row>
    <row r="325" customFormat="false" ht="12.75" hidden="false" customHeight="false" outlineLevel="0" collapsed="false">
      <c r="A325" s="0"/>
      <c r="B325" s="0"/>
      <c r="C325" s="0"/>
      <c r="D325" s="0"/>
      <c r="E325" s="0"/>
      <c r="F325" s="0"/>
      <c r="G325" s="22"/>
      <c r="H325" s="22"/>
      <c r="I325" s="0"/>
    </row>
    <row r="326" customFormat="false" ht="12.75" hidden="false" customHeight="false" outlineLevel="0" collapsed="false">
      <c r="A326" s="0"/>
      <c r="B326" s="20" t="n">
        <v>1886</v>
      </c>
      <c r="C326" s="20" t="s">
        <v>18</v>
      </c>
      <c r="D326" s="20" t="s">
        <v>76</v>
      </c>
      <c r="E326" s="0"/>
      <c r="F326" s="0"/>
      <c r="G326" s="22"/>
      <c r="H326" s="22"/>
      <c r="I326" s="0"/>
    </row>
    <row r="327" customFormat="false" ht="12.75" hidden="false" customHeight="false" outlineLevel="0" collapsed="false">
      <c r="A327" s="0"/>
      <c r="B327" s="0"/>
      <c r="C327" s="0"/>
      <c r="D327" s="0"/>
      <c r="E327" s="0"/>
      <c r="F327" s="0"/>
      <c r="G327" s="22"/>
      <c r="H327" s="22"/>
      <c r="I327" s="0"/>
    </row>
    <row r="328" customFormat="false" ht="12.75" hidden="false" customHeight="false" outlineLevel="0" collapsed="false">
      <c r="A328" s="18" t="n">
        <v>1</v>
      </c>
      <c r="B328" s="18" t="n">
        <v>1</v>
      </c>
      <c r="C328" s="18" t="n">
        <v>19.9</v>
      </c>
      <c r="D328" s="18" t="n">
        <v>-82.5</v>
      </c>
      <c r="E328" s="18" t="n">
        <v>50</v>
      </c>
      <c r="F328" s="18" t="n">
        <f aca="false">E328*0.5144</f>
        <v>25.72</v>
      </c>
      <c r="G328" s="22"/>
      <c r="H328" s="22"/>
      <c r="I328" s="18" t="n">
        <v>0</v>
      </c>
    </row>
    <row r="329" customFormat="false" ht="12.75" hidden="false" customHeight="false" outlineLevel="0" collapsed="false">
      <c r="A329" s="18" t="n">
        <f aca="false">A328+0.25</f>
        <v>1.25</v>
      </c>
      <c r="B329" s="18" t="n">
        <f aca="false">B328+0.25</f>
        <v>1.25</v>
      </c>
      <c r="C329" s="18" t="n">
        <v>20.3</v>
      </c>
      <c r="D329" s="18" t="n">
        <v>-83</v>
      </c>
      <c r="E329" s="18" t="n">
        <v>55</v>
      </c>
      <c r="F329" s="18" t="n">
        <f aca="false">E329*0.5144</f>
        <v>28.292</v>
      </c>
      <c r="G329" s="22" t="e">
        <f aca="false">arclethnm(C328,D328,C329,D329)/6</f>
        <v>#NAME?</v>
      </c>
      <c r="H329" s="22" t="e">
        <f aca="false">G329*0.5144</f>
        <v>#NAME?</v>
      </c>
      <c r="I329" s="18" t="n">
        <v>0</v>
      </c>
    </row>
    <row r="330" customFormat="false" ht="12.75" hidden="false" customHeight="false" outlineLevel="0" collapsed="false">
      <c r="A330" s="18" t="n">
        <f aca="false">A329+0.25</f>
        <v>1.5</v>
      </c>
      <c r="B330" s="18" t="n">
        <f aca="false">B329+0.25</f>
        <v>1.5</v>
      </c>
      <c r="C330" s="18" t="n">
        <v>20.8</v>
      </c>
      <c r="D330" s="18" t="n">
        <v>-83.3</v>
      </c>
      <c r="E330" s="18" t="n">
        <v>60</v>
      </c>
      <c r="F330" s="18" t="n">
        <f aca="false">E330*0.5144</f>
        <v>30.864</v>
      </c>
      <c r="G330" s="22" t="e">
        <f aca="false">arclethnm(C329,D329,C330,D330)/6</f>
        <v>#NAME?</v>
      </c>
      <c r="H330" s="22" t="e">
        <f aca="false">G330*0.5144</f>
        <v>#NAME?</v>
      </c>
      <c r="I330" s="18" t="n">
        <v>0</v>
      </c>
    </row>
    <row r="331" customFormat="false" ht="12.75" hidden="false" customHeight="false" outlineLevel="0" collapsed="false">
      <c r="A331" s="18" t="n">
        <f aca="false">A330+0.25</f>
        <v>1.75</v>
      </c>
      <c r="B331" s="18" t="n">
        <f aca="false">B330+0.25</f>
        <v>1.75</v>
      </c>
      <c r="C331" s="18" t="n">
        <v>21.2</v>
      </c>
      <c r="D331" s="18" t="n">
        <v>-83.7</v>
      </c>
      <c r="E331" s="18" t="n">
        <v>65</v>
      </c>
      <c r="F331" s="18" t="n">
        <f aca="false">E331*0.5144</f>
        <v>33.436</v>
      </c>
      <c r="G331" s="22" t="e">
        <f aca="false">arclethnm(C330,D330,C331,D331)/6</f>
        <v>#NAME?</v>
      </c>
      <c r="H331" s="22" t="e">
        <f aca="false">G331*0.5144</f>
        <v>#NAME?</v>
      </c>
      <c r="I331" s="18" t="n">
        <v>0</v>
      </c>
    </row>
    <row r="332" customFormat="false" ht="12.75" hidden="false" customHeight="false" outlineLevel="0" collapsed="false">
      <c r="A332" s="18" t="n">
        <f aca="false">A331+0.25</f>
        <v>2</v>
      </c>
      <c r="B332" s="18" t="n">
        <f aca="false">B331+0.25</f>
        <v>2</v>
      </c>
      <c r="C332" s="18" t="n">
        <v>21.7</v>
      </c>
      <c r="D332" s="18" t="n">
        <v>-84.1</v>
      </c>
      <c r="E332" s="18" t="n">
        <v>65</v>
      </c>
      <c r="F332" s="18" t="n">
        <f aca="false">E332*0.5144</f>
        <v>33.436</v>
      </c>
      <c r="G332" s="22" t="e">
        <f aca="false">arclethnm(C331,D331,C332,D332)/6</f>
        <v>#NAME?</v>
      </c>
      <c r="H332" s="22" t="e">
        <f aca="false">G332*0.5144</f>
        <v>#NAME?</v>
      </c>
      <c r="I332" s="18" t="n">
        <v>0</v>
      </c>
    </row>
    <row r="333" customFormat="false" ht="12.75" hidden="false" customHeight="false" outlineLevel="0" collapsed="false">
      <c r="A333" s="18" t="n">
        <f aca="false">A332+0.25</f>
        <v>2.25</v>
      </c>
      <c r="B333" s="18" t="n">
        <f aca="false">B332+0.25</f>
        <v>2.25</v>
      </c>
      <c r="C333" s="18" t="n">
        <v>22.2</v>
      </c>
      <c r="D333" s="18" t="n">
        <v>-84.4</v>
      </c>
      <c r="E333" s="18" t="n">
        <v>60</v>
      </c>
      <c r="F333" s="18" t="n">
        <f aca="false">E333*0.5144</f>
        <v>30.864</v>
      </c>
      <c r="G333" s="22" t="e">
        <f aca="false">arclethnm(C332,D332,C333,D333)/6</f>
        <v>#NAME?</v>
      </c>
      <c r="H333" s="22" t="e">
        <f aca="false">G333*0.5144</f>
        <v>#NAME?</v>
      </c>
      <c r="I333" s="18" t="n">
        <v>0</v>
      </c>
    </row>
    <row r="334" customFormat="false" ht="12.75" hidden="false" customHeight="false" outlineLevel="0" collapsed="false">
      <c r="A334" s="18" t="n">
        <f aca="false">A333+0.25</f>
        <v>2.5</v>
      </c>
      <c r="B334" s="18" t="n">
        <f aca="false">B333+0.25</f>
        <v>2.5</v>
      </c>
      <c r="C334" s="18" t="n">
        <v>22.7</v>
      </c>
      <c r="D334" s="18" t="n">
        <v>-84.8</v>
      </c>
      <c r="E334" s="18" t="n">
        <v>60</v>
      </c>
      <c r="F334" s="18" t="n">
        <f aca="false">E334*0.5144</f>
        <v>30.864</v>
      </c>
      <c r="G334" s="22" t="e">
        <f aca="false">arclethnm(C333,D333,C334,D334)/6</f>
        <v>#NAME?</v>
      </c>
      <c r="H334" s="22" t="e">
        <f aca="false">G334*0.5144</f>
        <v>#NAME?</v>
      </c>
      <c r="I334" s="18" t="n">
        <v>0</v>
      </c>
    </row>
    <row r="335" customFormat="false" ht="12.75" hidden="false" customHeight="false" outlineLevel="0" collapsed="false">
      <c r="A335" s="18" t="n">
        <f aca="false">A334+0.25</f>
        <v>2.75</v>
      </c>
      <c r="B335" s="18" t="n">
        <f aca="false">B334+0.25</f>
        <v>2.75</v>
      </c>
      <c r="C335" s="18" t="n">
        <v>23.3</v>
      </c>
      <c r="D335" s="18" t="n">
        <v>-85.1</v>
      </c>
      <c r="E335" s="18" t="n">
        <v>65</v>
      </c>
      <c r="F335" s="18" t="n">
        <f aca="false">E335*0.5144</f>
        <v>33.436</v>
      </c>
      <c r="G335" s="22" t="e">
        <f aca="false">arclethnm(C334,D334,C335,D335)/6</f>
        <v>#NAME?</v>
      </c>
      <c r="H335" s="22" t="e">
        <f aca="false">G335*0.5144</f>
        <v>#NAME?</v>
      </c>
      <c r="I335" s="18" t="n">
        <v>0</v>
      </c>
    </row>
    <row r="336" customFormat="false" ht="12.75" hidden="false" customHeight="false" outlineLevel="0" collapsed="false">
      <c r="A336" s="18" t="n">
        <f aca="false">A335+0.25</f>
        <v>3</v>
      </c>
      <c r="B336" s="18" t="n">
        <f aca="false">B335+0.25</f>
        <v>3</v>
      </c>
      <c r="C336" s="18" t="n">
        <v>23.9</v>
      </c>
      <c r="D336" s="18" t="n">
        <v>-85.4</v>
      </c>
      <c r="E336" s="18" t="n">
        <v>65</v>
      </c>
      <c r="F336" s="18" t="n">
        <f aca="false">E336*0.5144</f>
        <v>33.436</v>
      </c>
      <c r="G336" s="22" t="e">
        <f aca="false">arclethnm(C335,D335,C336,D336)/6</f>
        <v>#NAME?</v>
      </c>
      <c r="H336" s="22" t="e">
        <f aca="false">G336*0.5144</f>
        <v>#NAME?</v>
      </c>
      <c r="I336" s="18" t="n">
        <v>0</v>
      </c>
    </row>
    <row r="337" customFormat="false" ht="12.75" hidden="false" customHeight="false" outlineLevel="0" collapsed="false">
      <c r="A337" s="18" t="n">
        <f aca="false">A336+0.25</f>
        <v>3.25</v>
      </c>
      <c r="B337" s="18" t="n">
        <f aca="false">B336+0.25</f>
        <v>3.25</v>
      </c>
      <c r="C337" s="18" t="n">
        <v>24.6</v>
      </c>
      <c r="D337" s="18" t="n">
        <v>-85.7</v>
      </c>
      <c r="E337" s="18" t="n">
        <v>70</v>
      </c>
      <c r="F337" s="18" t="n">
        <f aca="false">E337*0.5144</f>
        <v>36.008</v>
      </c>
      <c r="G337" s="22" t="e">
        <f aca="false">arclethnm(C336,D336,C337,D337)/6</f>
        <v>#NAME?</v>
      </c>
      <c r="H337" s="22" t="e">
        <f aca="false">G337*0.5144</f>
        <v>#NAME?</v>
      </c>
      <c r="I337" s="18" t="n">
        <v>0</v>
      </c>
    </row>
    <row r="338" customFormat="false" ht="12.75" hidden="false" customHeight="false" outlineLevel="0" collapsed="false">
      <c r="A338" s="18" t="n">
        <f aca="false">A337+0.25</f>
        <v>3.5</v>
      </c>
      <c r="B338" s="18" t="n">
        <f aca="false">B337+0.25</f>
        <v>3.5</v>
      </c>
      <c r="C338" s="18" t="n">
        <v>25.2</v>
      </c>
      <c r="D338" s="18" t="n">
        <v>-86</v>
      </c>
      <c r="E338" s="18" t="n">
        <v>75</v>
      </c>
      <c r="F338" s="18" t="n">
        <f aca="false">E338*0.5144</f>
        <v>38.58</v>
      </c>
      <c r="G338" s="22" t="e">
        <f aca="false">arclethnm(C337,D337,C338,D338)/6</f>
        <v>#NAME?</v>
      </c>
      <c r="H338" s="22" t="e">
        <f aca="false">G338*0.5144</f>
        <v>#NAME?</v>
      </c>
      <c r="I338" s="18" t="n">
        <v>0</v>
      </c>
    </row>
    <row r="339" customFormat="false" ht="12.75" hidden="false" customHeight="false" outlineLevel="0" collapsed="false">
      <c r="A339" s="18" t="n">
        <f aca="false">A338+0.25</f>
        <v>3.75</v>
      </c>
      <c r="B339" s="18" t="n">
        <f aca="false">B338+0.25</f>
        <v>3.75</v>
      </c>
      <c r="C339" s="18" t="n">
        <v>25.7</v>
      </c>
      <c r="D339" s="18" t="n">
        <v>-86.4</v>
      </c>
      <c r="E339" s="18" t="n">
        <v>80</v>
      </c>
      <c r="F339" s="18" t="n">
        <f aca="false">E339*0.5144</f>
        <v>41.152</v>
      </c>
      <c r="G339" s="22" t="e">
        <f aca="false">arclethnm(C338,D338,C339,D339)/6</f>
        <v>#NAME?</v>
      </c>
      <c r="H339" s="22" t="e">
        <f aca="false">G339*0.5144</f>
        <v>#NAME?</v>
      </c>
      <c r="I339" s="18" t="n">
        <v>0</v>
      </c>
    </row>
    <row r="340" customFormat="false" ht="12.75" hidden="false" customHeight="false" outlineLevel="0" collapsed="false">
      <c r="A340" s="18" t="n">
        <f aca="false">A339+0.25</f>
        <v>4</v>
      </c>
      <c r="B340" s="18" t="n">
        <f aca="false">B339+0.25</f>
        <v>4</v>
      </c>
      <c r="C340" s="18" t="n">
        <v>26.2</v>
      </c>
      <c r="D340" s="18" t="n">
        <v>-86.9</v>
      </c>
      <c r="E340" s="18" t="n">
        <v>85</v>
      </c>
      <c r="F340" s="18" t="n">
        <f aca="false">E340*0.5144</f>
        <v>43.724</v>
      </c>
      <c r="G340" s="22" t="e">
        <f aca="false">arclethnm(C339,D339,C340,D340)/6</f>
        <v>#NAME?</v>
      </c>
      <c r="H340" s="22" t="e">
        <f aca="false">G340*0.5144</f>
        <v>#NAME?</v>
      </c>
      <c r="I340" s="18" t="n">
        <v>0</v>
      </c>
    </row>
    <row r="341" customFormat="false" ht="12.75" hidden="false" customHeight="false" outlineLevel="0" collapsed="false">
      <c r="A341" s="18" t="n">
        <f aca="false">A340+0.25</f>
        <v>4.25</v>
      </c>
      <c r="B341" s="18" t="n">
        <f aca="false">B340+0.25</f>
        <v>4.25</v>
      </c>
      <c r="C341" s="18" t="n">
        <v>26.7</v>
      </c>
      <c r="D341" s="18" t="n">
        <v>-87.5</v>
      </c>
      <c r="E341" s="18" t="n">
        <v>90</v>
      </c>
      <c r="F341" s="18" t="n">
        <f aca="false">E341*0.5144</f>
        <v>46.296</v>
      </c>
      <c r="G341" s="22" t="e">
        <f aca="false">arclethnm(C340,D340,C341,D341)/6</f>
        <v>#NAME?</v>
      </c>
      <c r="H341" s="22" t="e">
        <f aca="false">G341*0.5144</f>
        <v>#NAME?</v>
      </c>
      <c r="I341" s="18" t="n">
        <v>0</v>
      </c>
    </row>
    <row r="342" customFormat="false" ht="12.75" hidden="false" customHeight="false" outlineLevel="0" collapsed="false">
      <c r="A342" s="18" t="n">
        <f aca="false">A341+0.25</f>
        <v>4.5</v>
      </c>
      <c r="B342" s="18" t="n">
        <f aca="false">B341+0.25</f>
        <v>4.5</v>
      </c>
      <c r="C342" s="18" t="n">
        <v>27.2</v>
      </c>
      <c r="D342" s="18" t="n">
        <v>-88.1</v>
      </c>
      <c r="E342" s="18" t="n">
        <v>95</v>
      </c>
      <c r="F342" s="18" t="n">
        <f aca="false">E342*0.5144</f>
        <v>48.868</v>
      </c>
      <c r="G342" s="22" t="e">
        <f aca="false">arclethnm(C341,D341,C342,D342)/6</f>
        <v>#NAME?</v>
      </c>
      <c r="H342" s="22" t="e">
        <f aca="false">G342*0.5144</f>
        <v>#NAME?</v>
      </c>
      <c r="I342" s="18" t="n">
        <v>0</v>
      </c>
    </row>
    <row r="343" customFormat="false" ht="12.75" hidden="false" customHeight="false" outlineLevel="0" collapsed="false">
      <c r="A343" s="18" t="n">
        <f aca="false">A342+0.25</f>
        <v>4.75</v>
      </c>
      <c r="B343" s="18" t="n">
        <f aca="false">B342+0.25</f>
        <v>4.75</v>
      </c>
      <c r="C343" s="18" t="n">
        <v>27.6</v>
      </c>
      <c r="D343" s="18" t="n">
        <v>-89</v>
      </c>
      <c r="E343" s="18" t="n">
        <v>100</v>
      </c>
      <c r="F343" s="18" t="n">
        <f aca="false">E343*0.5144</f>
        <v>51.44</v>
      </c>
      <c r="G343" s="22" t="e">
        <f aca="false">arclethnm(C342,D342,C343,D343)/6</f>
        <v>#NAME?</v>
      </c>
      <c r="H343" s="22" t="e">
        <f aca="false">G343*0.5144</f>
        <v>#NAME?</v>
      </c>
      <c r="I343" s="18" t="n">
        <v>0</v>
      </c>
    </row>
    <row r="344" customFormat="false" ht="12.75" hidden="false" customHeight="false" outlineLevel="0" collapsed="false">
      <c r="A344" s="18" t="n">
        <f aca="false">A343+0.25</f>
        <v>5</v>
      </c>
      <c r="B344" s="18" t="n">
        <f aca="false">B343+0.25</f>
        <v>5</v>
      </c>
      <c r="C344" s="18" t="n">
        <v>27.9</v>
      </c>
      <c r="D344" s="18" t="n">
        <v>-90.3</v>
      </c>
      <c r="E344" s="18" t="n">
        <v>105</v>
      </c>
      <c r="F344" s="18" t="n">
        <f aca="false">E344*0.5144</f>
        <v>54.012</v>
      </c>
      <c r="G344" s="22" t="e">
        <f aca="false">arclethnm(C343,D343,C344,D344)/6</f>
        <v>#NAME?</v>
      </c>
      <c r="H344" s="22" t="e">
        <f aca="false">G344*0.5144</f>
        <v>#NAME?</v>
      </c>
      <c r="I344" s="18" t="n">
        <v>0</v>
      </c>
    </row>
    <row r="345" customFormat="false" ht="12.75" hidden="false" customHeight="false" outlineLevel="0" collapsed="false">
      <c r="A345" s="18" t="n">
        <f aca="false">A344+0.25</f>
        <v>5.25</v>
      </c>
      <c r="B345" s="18" t="n">
        <f aca="false">B344+0.25</f>
        <v>5.25</v>
      </c>
      <c r="C345" s="18" t="n">
        <v>28.2</v>
      </c>
      <c r="D345" s="18" t="n">
        <v>-91.7</v>
      </c>
      <c r="E345" s="18" t="n">
        <v>105</v>
      </c>
      <c r="F345" s="18" t="n">
        <f aca="false">E345*0.5144</f>
        <v>54.012</v>
      </c>
      <c r="G345" s="22" t="e">
        <f aca="false">arclethnm(C344,D344,C345,D345)/6</f>
        <v>#NAME?</v>
      </c>
      <c r="H345" s="22" t="e">
        <f aca="false">G345*0.5144</f>
        <v>#NAME?</v>
      </c>
      <c r="I345" s="18" t="n">
        <v>0</v>
      </c>
    </row>
    <row r="346" customFormat="false" ht="12.75" hidden="false" customHeight="false" outlineLevel="0" collapsed="false">
      <c r="A346" s="18" t="n">
        <f aca="false">A345+0.25</f>
        <v>5.5</v>
      </c>
      <c r="B346" s="18" t="n">
        <f aca="false">B345+0.25</f>
        <v>5.5</v>
      </c>
      <c r="C346" s="18" t="n">
        <v>28.6</v>
      </c>
      <c r="D346" s="18" t="n">
        <v>-92.7</v>
      </c>
      <c r="E346" s="18" t="n">
        <v>105</v>
      </c>
      <c r="F346" s="18" t="n">
        <f aca="false">E346*0.5144</f>
        <v>54.012</v>
      </c>
      <c r="G346" s="22" t="e">
        <f aca="false">arclethnm(C345,D345,C346,D346)/6</f>
        <v>#NAME?</v>
      </c>
      <c r="H346" s="22" t="e">
        <f aca="false">G346*0.5144</f>
        <v>#NAME?</v>
      </c>
      <c r="I346" s="18" t="n">
        <v>0</v>
      </c>
    </row>
    <row r="347" customFormat="false" ht="12.75" hidden="false" customHeight="false" outlineLevel="0" collapsed="false">
      <c r="A347" s="18" t="n">
        <f aca="false">A346+0.25</f>
        <v>5.75</v>
      </c>
      <c r="B347" s="18" t="n">
        <f aca="false">B346+0.25</f>
        <v>5.75</v>
      </c>
      <c r="C347" s="18" t="n">
        <v>29.2</v>
      </c>
      <c r="D347" s="18" t="n">
        <v>-93.3</v>
      </c>
      <c r="E347" s="18" t="n">
        <v>105</v>
      </c>
      <c r="F347" s="18" t="n">
        <f aca="false">E347*0.5144</f>
        <v>54.012</v>
      </c>
      <c r="G347" s="22" t="e">
        <f aca="false">arclethnm(C346,D346,C347,D347)/6</f>
        <v>#NAME?</v>
      </c>
      <c r="H347" s="22" t="e">
        <f aca="false">G347*0.5144</f>
        <v>#NAME?</v>
      </c>
      <c r="I347" s="18" t="n">
        <v>0</v>
      </c>
    </row>
    <row r="348" customFormat="false" ht="12.75" hidden="false" customHeight="false" outlineLevel="0" collapsed="false">
      <c r="A348" s="18" t="n">
        <f aca="false">A347+0.25</f>
        <v>6</v>
      </c>
      <c r="B348" s="18" t="n">
        <f aca="false">B347+0.25</f>
        <v>6</v>
      </c>
      <c r="C348" s="18" t="n">
        <v>29.8</v>
      </c>
      <c r="D348" s="18" t="n">
        <v>-93.5</v>
      </c>
      <c r="E348" s="18" t="n">
        <v>105</v>
      </c>
      <c r="F348" s="18" t="n">
        <f aca="false">E348*0.5144</f>
        <v>54.012</v>
      </c>
      <c r="G348" s="22" t="e">
        <f aca="false">arclethnm(C347,D347,C348,D348)/6</f>
        <v>#NAME?</v>
      </c>
      <c r="H348" s="22" t="e">
        <f aca="false">G348*0.5144</f>
        <v>#NAME?</v>
      </c>
      <c r="I348" s="18" t="n">
        <v>0</v>
      </c>
    </row>
    <row r="349" customFormat="false" ht="12.75" hidden="false" customHeight="false" outlineLevel="0" collapsed="false">
      <c r="A349" s="18" t="n">
        <f aca="false">A348+0.25</f>
        <v>6.25</v>
      </c>
      <c r="B349" s="18" t="n">
        <f aca="false">B348+0.25</f>
        <v>6.25</v>
      </c>
      <c r="C349" s="18" t="n">
        <v>30.1</v>
      </c>
      <c r="D349" s="18" t="n">
        <v>-93.6</v>
      </c>
      <c r="E349" s="18" t="n">
        <v>75</v>
      </c>
      <c r="F349" s="18" t="n">
        <f aca="false">E349*0.5144</f>
        <v>38.58</v>
      </c>
      <c r="G349" s="22" t="e">
        <f aca="false">arclethnm(C348,D348,C349,D349)/6</f>
        <v>#NAME?</v>
      </c>
      <c r="H349" s="22" t="e">
        <f aca="false">G349*0.5144</f>
        <v>#NAME?</v>
      </c>
      <c r="I349" s="18" t="n">
        <v>0</v>
      </c>
    </row>
    <row r="350" customFormat="false" ht="12.75" hidden="false" customHeight="false" outlineLevel="0" collapsed="false">
      <c r="A350" s="18" t="n">
        <f aca="false">A349+0.25</f>
        <v>6.5</v>
      </c>
      <c r="B350" s="18" t="n">
        <f aca="false">B349+0.25</f>
        <v>6.5</v>
      </c>
      <c r="C350" s="18" t="n">
        <v>31.1</v>
      </c>
      <c r="D350" s="18" t="n">
        <v>-93.7</v>
      </c>
      <c r="E350" s="18" t="n">
        <v>65</v>
      </c>
      <c r="F350" s="18" t="n">
        <f aca="false">E350*0.5144</f>
        <v>33.436</v>
      </c>
      <c r="G350" s="22" t="e">
        <f aca="false">arclethnm(C349,D349,C350,D350)/6</f>
        <v>#NAME?</v>
      </c>
      <c r="H350" s="22" t="e">
        <f aca="false">G350*0.5144</f>
        <v>#NAME?</v>
      </c>
      <c r="I350" s="18" t="n">
        <v>0</v>
      </c>
    </row>
    <row r="351" customFormat="false" ht="12.75" hidden="false" customHeight="false" outlineLevel="0" collapsed="false">
      <c r="A351" s="18" t="n">
        <f aca="false">A350+0.25</f>
        <v>6.75</v>
      </c>
      <c r="B351" s="18" t="n">
        <f aca="false">B350+0.25</f>
        <v>6.75</v>
      </c>
      <c r="C351" s="18" t="n">
        <v>32.3</v>
      </c>
      <c r="D351" s="18" t="n">
        <v>-93.5</v>
      </c>
      <c r="E351" s="18" t="n">
        <v>50</v>
      </c>
      <c r="F351" s="18" t="n">
        <f aca="false">E351*0.5144</f>
        <v>25.72</v>
      </c>
      <c r="G351" s="22" t="e">
        <f aca="false">arclethnm(C350,D350,C351,D351)/6</f>
        <v>#NAME?</v>
      </c>
      <c r="H351" s="22" t="e">
        <f aca="false">G351*0.5144</f>
        <v>#NAME?</v>
      </c>
      <c r="I351" s="18" t="n">
        <v>0</v>
      </c>
    </row>
    <row r="352" customFormat="false" ht="12.75" hidden="false" customHeight="false" outlineLevel="0" collapsed="false">
      <c r="A352" s="18" t="n">
        <f aca="false">A351+0.25</f>
        <v>7</v>
      </c>
      <c r="B352" s="18" t="n">
        <f aca="false">B351+0.25</f>
        <v>7</v>
      </c>
      <c r="C352" s="18" t="n">
        <v>33.2</v>
      </c>
      <c r="D352" s="18" t="n">
        <v>-92.9</v>
      </c>
      <c r="E352" s="18" t="n">
        <v>35</v>
      </c>
      <c r="F352" s="18" t="n">
        <f aca="false">E352*0.5144</f>
        <v>18.004</v>
      </c>
      <c r="G352" s="22" t="e">
        <f aca="false">arclethnm(C351,D351,C352,D352)/6</f>
        <v>#NAME?</v>
      </c>
      <c r="H352" s="22" t="e">
        <f aca="false">G352*0.5144</f>
        <v>#NAME?</v>
      </c>
      <c r="I352" s="18" t="n">
        <v>0</v>
      </c>
    </row>
    <row r="353" customFormat="false" ht="12.75" hidden="false" customHeight="false" outlineLevel="0" collapsed="false">
      <c r="A353" s="0"/>
      <c r="B353" s="0"/>
      <c r="C353" s="0"/>
      <c r="D353" s="0"/>
      <c r="E353" s="0"/>
      <c r="F353" s="0"/>
      <c r="G353" s="22"/>
      <c r="H353" s="22"/>
      <c r="I353" s="0"/>
    </row>
    <row r="354" customFormat="false" ht="12.75" hidden="false" customHeight="false" outlineLevel="0" collapsed="false">
      <c r="A354" s="0"/>
      <c r="B354" s="0"/>
      <c r="C354" s="0"/>
      <c r="D354" s="0"/>
      <c r="E354" s="0"/>
      <c r="F354" s="0"/>
      <c r="G354" s="22"/>
      <c r="H354" s="22"/>
      <c r="I354" s="0"/>
    </row>
    <row r="355" customFormat="false" ht="12.75" hidden="false" customHeight="false" outlineLevel="0" collapsed="false">
      <c r="A355" s="0"/>
      <c r="B355" s="0"/>
      <c r="C355" s="0"/>
      <c r="D355" s="0"/>
      <c r="E355" s="0"/>
      <c r="F355" s="0"/>
      <c r="G355" s="22"/>
      <c r="H355" s="22"/>
      <c r="I355" s="0"/>
    </row>
    <row r="356" customFormat="false" ht="12.75" hidden="false" customHeight="false" outlineLevel="0" collapsed="false">
      <c r="A356" s="0"/>
      <c r="B356" s="20" t="n">
        <v>1887</v>
      </c>
      <c r="C356" s="20" t="s">
        <v>18</v>
      </c>
      <c r="D356" s="20" t="s">
        <v>77</v>
      </c>
      <c r="E356" s="0"/>
      <c r="F356" s="0"/>
      <c r="G356" s="22"/>
      <c r="H356" s="22"/>
      <c r="I356" s="0"/>
    </row>
    <row r="357" customFormat="false" ht="12.75" hidden="false" customHeight="false" outlineLevel="0" collapsed="false">
      <c r="A357" s="0"/>
      <c r="B357" s="0"/>
      <c r="C357" s="0"/>
      <c r="D357" s="0"/>
      <c r="E357" s="0"/>
      <c r="F357" s="0"/>
      <c r="G357" s="22"/>
      <c r="H357" s="22"/>
      <c r="I357" s="0"/>
    </row>
    <row r="358" customFormat="false" ht="12.75" hidden="false" customHeight="false" outlineLevel="0" collapsed="false">
      <c r="A358" s="18" t="n">
        <f aca="false">B358-0.5</f>
        <v>1</v>
      </c>
      <c r="B358" s="18" t="n">
        <v>1.5</v>
      </c>
      <c r="C358" s="18" t="n">
        <v>13.3</v>
      </c>
      <c r="D358" s="18" t="n">
        <v>-57</v>
      </c>
      <c r="E358" s="18" t="n">
        <v>35</v>
      </c>
      <c r="F358" s="18" t="n">
        <f aca="false">E358*0.5144</f>
        <v>18.004</v>
      </c>
      <c r="G358" s="22"/>
      <c r="H358" s="22"/>
      <c r="I358" s="18" t="n">
        <v>0</v>
      </c>
    </row>
    <row r="359" customFormat="false" ht="12.75" hidden="false" customHeight="false" outlineLevel="0" collapsed="false">
      <c r="A359" s="18" t="n">
        <f aca="false">B359-0.5</f>
        <v>1.25</v>
      </c>
      <c r="B359" s="18" t="n">
        <f aca="false">B358+0.25</f>
        <v>1.75</v>
      </c>
      <c r="C359" s="18" t="n">
        <v>13.4</v>
      </c>
      <c r="D359" s="18" t="n">
        <v>-58.2</v>
      </c>
      <c r="E359" s="18" t="n">
        <v>40</v>
      </c>
      <c r="F359" s="18" t="n">
        <f aca="false">E359*0.5144</f>
        <v>20.576</v>
      </c>
      <c r="G359" s="22" t="e">
        <f aca="false">arclethnm(C358,D358,C359,D359)/6</f>
        <v>#NAME?</v>
      </c>
      <c r="H359" s="22" t="e">
        <f aca="false">G359*0.5144</f>
        <v>#NAME?</v>
      </c>
      <c r="I359" s="18" t="n">
        <v>0</v>
      </c>
    </row>
    <row r="360" customFormat="false" ht="12.75" hidden="false" customHeight="false" outlineLevel="0" collapsed="false">
      <c r="A360" s="18" t="n">
        <f aca="false">B360-0.5</f>
        <v>1.5</v>
      </c>
      <c r="B360" s="18" t="n">
        <f aca="false">B359+0.25</f>
        <v>2</v>
      </c>
      <c r="C360" s="18" t="n">
        <v>13.4</v>
      </c>
      <c r="D360" s="18" t="n">
        <v>-59.3</v>
      </c>
      <c r="E360" s="18" t="n">
        <v>45</v>
      </c>
      <c r="F360" s="18" t="n">
        <f aca="false">E360*0.5144</f>
        <v>23.148</v>
      </c>
      <c r="G360" s="22" t="e">
        <f aca="false">arclethnm(C359,D359,C360,D360)/6</f>
        <v>#NAME?</v>
      </c>
      <c r="H360" s="22" t="e">
        <f aca="false">G360*0.5144</f>
        <v>#NAME?</v>
      </c>
      <c r="I360" s="18" t="n">
        <v>0</v>
      </c>
    </row>
    <row r="361" customFormat="false" ht="12.75" hidden="false" customHeight="false" outlineLevel="0" collapsed="false">
      <c r="A361" s="18" t="n">
        <f aca="false">B361-0.5</f>
        <v>1.75</v>
      </c>
      <c r="B361" s="18" t="n">
        <f aca="false">B360+0.25</f>
        <v>2.25</v>
      </c>
      <c r="C361" s="18" t="n">
        <v>13.5</v>
      </c>
      <c r="D361" s="18" t="n">
        <v>-60.4</v>
      </c>
      <c r="E361" s="18" t="n">
        <v>50</v>
      </c>
      <c r="F361" s="18" t="n">
        <f aca="false">E361*0.5144</f>
        <v>25.72</v>
      </c>
      <c r="G361" s="22" t="e">
        <f aca="false">arclethnm(C360,D360,C361,D361)/6</f>
        <v>#NAME?</v>
      </c>
      <c r="H361" s="22" t="e">
        <f aca="false">G361*0.5144</f>
        <v>#NAME?</v>
      </c>
      <c r="I361" s="18" t="n">
        <v>0</v>
      </c>
    </row>
    <row r="362" customFormat="false" ht="12.75" hidden="false" customHeight="false" outlineLevel="0" collapsed="false">
      <c r="A362" s="18" t="n">
        <f aca="false">B362-0.5</f>
        <v>2</v>
      </c>
      <c r="B362" s="18" t="n">
        <f aca="false">B361+0.25</f>
        <v>2.5</v>
      </c>
      <c r="C362" s="18" t="n">
        <v>13.6</v>
      </c>
      <c r="D362" s="18" t="n">
        <v>-61.4</v>
      </c>
      <c r="E362" s="18" t="n">
        <v>55</v>
      </c>
      <c r="F362" s="18" t="n">
        <f aca="false">E362*0.5144</f>
        <v>28.292</v>
      </c>
      <c r="G362" s="22" t="e">
        <f aca="false">arclethnm(C361,D361,C362,D362)/6</f>
        <v>#NAME?</v>
      </c>
      <c r="H362" s="22" t="e">
        <f aca="false">G362*0.5144</f>
        <v>#NAME?</v>
      </c>
      <c r="I362" s="18" t="n">
        <v>0</v>
      </c>
    </row>
    <row r="363" customFormat="false" ht="12.75" hidden="false" customHeight="false" outlineLevel="0" collapsed="false">
      <c r="A363" s="18" t="n">
        <f aca="false">B363-0.5</f>
        <v>2.25</v>
      </c>
      <c r="B363" s="18" t="n">
        <f aca="false">B362+0.25</f>
        <v>2.75</v>
      </c>
      <c r="C363" s="18" t="n">
        <v>13.7</v>
      </c>
      <c r="D363" s="18" t="n">
        <v>-62.3</v>
      </c>
      <c r="E363" s="18" t="n">
        <v>60</v>
      </c>
      <c r="F363" s="18" t="n">
        <f aca="false">E363*0.5144</f>
        <v>30.864</v>
      </c>
      <c r="G363" s="22" t="e">
        <f aca="false">arclethnm(C362,D362,C363,D363)/6</f>
        <v>#NAME?</v>
      </c>
      <c r="H363" s="22" t="e">
        <f aca="false">G363*0.5144</f>
        <v>#NAME?</v>
      </c>
      <c r="I363" s="18" t="n">
        <v>0</v>
      </c>
    </row>
    <row r="364" customFormat="false" ht="12.75" hidden="false" customHeight="false" outlineLevel="0" collapsed="false">
      <c r="A364" s="18" t="n">
        <f aca="false">B364-0.5</f>
        <v>2.5</v>
      </c>
      <c r="B364" s="18" t="n">
        <f aca="false">B363+0.25</f>
        <v>3</v>
      </c>
      <c r="C364" s="18" t="n">
        <v>13.8</v>
      </c>
      <c r="D364" s="18" t="n">
        <v>-63.1</v>
      </c>
      <c r="E364" s="18" t="n">
        <v>65</v>
      </c>
      <c r="F364" s="18" t="n">
        <f aca="false">E364*0.5144</f>
        <v>33.436</v>
      </c>
      <c r="G364" s="22" t="e">
        <f aca="false">arclethnm(C363,D363,C364,D364)/6</f>
        <v>#NAME?</v>
      </c>
      <c r="H364" s="22" t="e">
        <f aca="false">G364*0.5144</f>
        <v>#NAME?</v>
      </c>
      <c r="I364" s="18" t="n">
        <v>0</v>
      </c>
    </row>
    <row r="365" customFormat="false" ht="12.75" hidden="false" customHeight="false" outlineLevel="0" collapsed="false">
      <c r="A365" s="18" t="n">
        <f aca="false">B365-0.5</f>
        <v>2.75</v>
      </c>
      <c r="B365" s="18" t="n">
        <f aca="false">B364+0.25</f>
        <v>3.25</v>
      </c>
      <c r="C365" s="18" t="n">
        <v>13.9</v>
      </c>
      <c r="D365" s="18" t="n">
        <v>-63.9</v>
      </c>
      <c r="E365" s="18" t="n">
        <v>70</v>
      </c>
      <c r="F365" s="18" t="n">
        <f aca="false">E365*0.5144</f>
        <v>36.008</v>
      </c>
      <c r="G365" s="22" t="e">
        <f aca="false">arclethnm(C364,D364,C365,D365)/6</f>
        <v>#NAME?</v>
      </c>
      <c r="H365" s="22" t="e">
        <f aca="false">G365*0.5144</f>
        <v>#NAME?</v>
      </c>
      <c r="I365" s="18" t="n">
        <v>0</v>
      </c>
    </row>
    <row r="366" customFormat="false" ht="12.75" hidden="false" customHeight="false" outlineLevel="0" collapsed="false">
      <c r="A366" s="18" t="n">
        <f aca="false">B366-0.5</f>
        <v>3</v>
      </c>
      <c r="B366" s="18" t="n">
        <f aca="false">B365+0.25</f>
        <v>3.5</v>
      </c>
      <c r="C366" s="18" t="n">
        <v>14</v>
      </c>
      <c r="D366" s="18" t="n">
        <v>-64.8</v>
      </c>
      <c r="E366" s="18" t="n">
        <v>75</v>
      </c>
      <c r="F366" s="18" t="n">
        <f aca="false">E366*0.5144</f>
        <v>38.58</v>
      </c>
      <c r="G366" s="22" t="e">
        <f aca="false">arclethnm(C365,D365,C366,D366)/6</f>
        <v>#NAME?</v>
      </c>
      <c r="H366" s="22" t="e">
        <f aca="false">G366*0.5144</f>
        <v>#NAME?</v>
      </c>
      <c r="I366" s="18" t="n">
        <v>0</v>
      </c>
    </row>
    <row r="367" customFormat="false" ht="12.75" hidden="false" customHeight="false" outlineLevel="0" collapsed="false">
      <c r="A367" s="18" t="n">
        <f aca="false">B367-0.5</f>
        <v>3.25</v>
      </c>
      <c r="B367" s="18" t="n">
        <f aca="false">B366+0.25</f>
        <v>3.75</v>
      </c>
      <c r="C367" s="18" t="n">
        <v>14.1</v>
      </c>
      <c r="D367" s="18" t="n">
        <v>-66.2</v>
      </c>
      <c r="E367" s="18" t="n">
        <v>80</v>
      </c>
      <c r="F367" s="18" t="n">
        <f aca="false">E367*0.5144</f>
        <v>41.152</v>
      </c>
      <c r="G367" s="22" t="e">
        <f aca="false">arclethnm(C366,D366,C367,D367)/6</f>
        <v>#NAME?</v>
      </c>
      <c r="H367" s="22" t="e">
        <f aca="false">G367*0.5144</f>
        <v>#NAME?</v>
      </c>
      <c r="I367" s="18" t="n">
        <v>0</v>
      </c>
    </row>
    <row r="368" customFormat="false" ht="12.75" hidden="false" customHeight="false" outlineLevel="0" collapsed="false">
      <c r="A368" s="18" t="n">
        <f aca="false">B368-0.5</f>
        <v>3.5</v>
      </c>
      <c r="B368" s="18" t="n">
        <f aca="false">B367+0.25</f>
        <v>4</v>
      </c>
      <c r="C368" s="18" t="n">
        <v>14.2</v>
      </c>
      <c r="D368" s="18" t="n">
        <v>-67.8</v>
      </c>
      <c r="E368" s="18" t="n">
        <v>85</v>
      </c>
      <c r="F368" s="18" t="n">
        <f aca="false">E368*0.5144</f>
        <v>43.724</v>
      </c>
      <c r="G368" s="22" t="e">
        <f aca="false">arclethnm(C367,D367,C368,D368)/6</f>
        <v>#NAME?</v>
      </c>
      <c r="H368" s="22" t="e">
        <f aca="false">G368*0.5144</f>
        <v>#NAME?</v>
      </c>
      <c r="I368" s="18" t="n">
        <v>0</v>
      </c>
    </row>
    <row r="369" customFormat="false" ht="12.75" hidden="false" customHeight="false" outlineLevel="0" collapsed="false">
      <c r="A369" s="18" t="n">
        <f aca="false">B369-0.5</f>
        <v>3.75</v>
      </c>
      <c r="B369" s="18" t="n">
        <f aca="false">B368+0.25</f>
        <v>4.25</v>
      </c>
      <c r="C369" s="18" t="n">
        <v>14.4</v>
      </c>
      <c r="D369" s="18" t="n">
        <v>-69.5</v>
      </c>
      <c r="E369" s="18" t="n">
        <v>85</v>
      </c>
      <c r="F369" s="18" t="n">
        <f aca="false">E369*0.5144</f>
        <v>43.724</v>
      </c>
      <c r="G369" s="22" t="e">
        <f aca="false">arclethnm(C368,D368,C369,D369)/6</f>
        <v>#NAME?</v>
      </c>
      <c r="H369" s="22" t="e">
        <f aca="false">G369*0.5144</f>
        <v>#NAME?</v>
      </c>
      <c r="I369" s="18" t="n">
        <v>0</v>
      </c>
    </row>
    <row r="370" customFormat="false" ht="12.75" hidden="false" customHeight="false" outlineLevel="0" collapsed="false">
      <c r="A370" s="18" t="n">
        <f aca="false">B370-0.5</f>
        <v>4</v>
      </c>
      <c r="B370" s="18" t="n">
        <f aca="false">B369+0.25</f>
        <v>4.5</v>
      </c>
      <c r="C370" s="18" t="n">
        <v>14.5</v>
      </c>
      <c r="D370" s="18" t="n">
        <v>-71</v>
      </c>
      <c r="E370" s="18" t="n">
        <v>85</v>
      </c>
      <c r="F370" s="18" t="n">
        <f aca="false">E370*0.5144</f>
        <v>43.724</v>
      </c>
      <c r="G370" s="22" t="e">
        <f aca="false">arclethnm(C369,D369,C370,D370)/6</f>
        <v>#NAME?</v>
      </c>
      <c r="H370" s="22" t="e">
        <f aca="false">G370*0.5144</f>
        <v>#NAME?</v>
      </c>
      <c r="I370" s="18" t="n">
        <v>0</v>
      </c>
    </row>
    <row r="371" customFormat="false" ht="12.75" hidden="false" customHeight="false" outlineLevel="0" collapsed="false">
      <c r="A371" s="18" t="n">
        <f aca="false">B371-0.5</f>
        <v>4.25</v>
      </c>
      <c r="B371" s="18" t="n">
        <f aca="false">B370+0.25</f>
        <v>4.75</v>
      </c>
      <c r="C371" s="18" t="n">
        <v>14.7</v>
      </c>
      <c r="D371" s="18" t="n">
        <v>-72.3</v>
      </c>
      <c r="E371" s="18" t="n">
        <v>85</v>
      </c>
      <c r="F371" s="18" t="n">
        <f aca="false">E371*0.5144</f>
        <v>43.724</v>
      </c>
      <c r="G371" s="22" t="e">
        <f aca="false">arclethnm(C370,D370,C371,D371)/6</f>
        <v>#NAME?</v>
      </c>
      <c r="H371" s="22" t="e">
        <f aca="false">G371*0.5144</f>
        <v>#NAME?</v>
      </c>
      <c r="I371" s="18" t="n">
        <v>0</v>
      </c>
    </row>
    <row r="372" customFormat="false" ht="12.75" hidden="false" customHeight="false" outlineLevel="0" collapsed="false">
      <c r="A372" s="18" t="n">
        <f aca="false">B372-0.5</f>
        <v>4.5</v>
      </c>
      <c r="B372" s="18" t="n">
        <f aca="false">B371+0.25</f>
        <v>5</v>
      </c>
      <c r="C372" s="18" t="n">
        <v>15</v>
      </c>
      <c r="D372" s="18" t="n">
        <v>-73.5</v>
      </c>
      <c r="E372" s="18" t="n">
        <v>85</v>
      </c>
      <c r="F372" s="18" t="n">
        <f aca="false">E372*0.5144</f>
        <v>43.724</v>
      </c>
      <c r="G372" s="22" t="e">
        <f aca="false">arclethnm(C371,D371,C372,D372)/6</f>
        <v>#NAME?</v>
      </c>
      <c r="H372" s="22" t="e">
        <f aca="false">G372*0.5144</f>
        <v>#NAME?</v>
      </c>
      <c r="I372" s="18" t="n">
        <v>0</v>
      </c>
    </row>
    <row r="373" customFormat="false" ht="12.75" hidden="false" customHeight="false" outlineLevel="0" collapsed="false">
      <c r="A373" s="18" t="n">
        <f aca="false">B373-0.5</f>
        <v>4.75</v>
      </c>
      <c r="B373" s="18" t="n">
        <f aca="false">B372+0.25</f>
        <v>5.25</v>
      </c>
      <c r="C373" s="18" t="n">
        <v>15.3</v>
      </c>
      <c r="D373" s="18" t="n">
        <v>-74.7</v>
      </c>
      <c r="E373" s="18" t="n">
        <v>85</v>
      </c>
      <c r="F373" s="18" t="n">
        <f aca="false">E373*0.5144</f>
        <v>43.724</v>
      </c>
      <c r="G373" s="22" t="e">
        <f aca="false">arclethnm(C372,D372,C373,D373)/6</f>
        <v>#NAME?</v>
      </c>
      <c r="H373" s="22" t="e">
        <f aca="false">G373*0.5144</f>
        <v>#NAME?</v>
      </c>
      <c r="I373" s="18" t="n">
        <v>0</v>
      </c>
    </row>
    <row r="374" customFormat="false" ht="12.75" hidden="false" customHeight="false" outlineLevel="0" collapsed="false">
      <c r="A374" s="18" t="n">
        <f aca="false">B374-0.5</f>
        <v>5</v>
      </c>
      <c r="B374" s="18" t="n">
        <f aca="false">B373+0.25</f>
        <v>5.5</v>
      </c>
      <c r="C374" s="18" t="n">
        <v>15.7</v>
      </c>
      <c r="D374" s="18" t="n">
        <v>-76</v>
      </c>
      <c r="E374" s="18" t="n">
        <v>85</v>
      </c>
      <c r="F374" s="18" t="n">
        <f aca="false">E374*0.5144</f>
        <v>43.724</v>
      </c>
      <c r="G374" s="22" t="e">
        <f aca="false">arclethnm(C373,D373,C374,D374)/6</f>
        <v>#NAME?</v>
      </c>
      <c r="H374" s="22" t="e">
        <f aca="false">G374*0.5144</f>
        <v>#NAME?</v>
      </c>
      <c r="I374" s="18" t="n">
        <v>0</v>
      </c>
    </row>
    <row r="375" customFormat="false" ht="12.75" hidden="false" customHeight="false" outlineLevel="0" collapsed="false">
      <c r="A375" s="18" t="n">
        <f aca="false">B375-0.5</f>
        <v>5.25</v>
      </c>
      <c r="B375" s="18" t="n">
        <f aca="false">B374+0.25</f>
        <v>5.75</v>
      </c>
      <c r="C375" s="18" t="n">
        <v>16.2</v>
      </c>
      <c r="D375" s="18" t="n">
        <v>-77.8</v>
      </c>
      <c r="E375" s="18" t="n">
        <v>85</v>
      </c>
      <c r="F375" s="18" t="n">
        <f aca="false">E375*0.5144</f>
        <v>43.724</v>
      </c>
      <c r="G375" s="22" t="e">
        <f aca="false">arclethnm(C374,D374,C375,D375)/6</f>
        <v>#NAME?</v>
      </c>
      <c r="H375" s="22" t="e">
        <f aca="false">G375*0.5144</f>
        <v>#NAME?</v>
      </c>
      <c r="I375" s="18" t="n">
        <v>0</v>
      </c>
    </row>
    <row r="376" customFormat="false" ht="12.75" hidden="false" customHeight="false" outlineLevel="0" collapsed="false">
      <c r="A376" s="18" t="n">
        <f aca="false">B376-0.5</f>
        <v>5.5</v>
      </c>
      <c r="B376" s="18" t="n">
        <f aca="false">B375+0.25</f>
        <v>6</v>
      </c>
      <c r="C376" s="18" t="n">
        <v>16.7</v>
      </c>
      <c r="D376" s="18" t="n">
        <v>-79.6</v>
      </c>
      <c r="E376" s="18" t="n">
        <v>85</v>
      </c>
      <c r="F376" s="18" t="n">
        <f aca="false">E376*0.5144</f>
        <v>43.724</v>
      </c>
      <c r="G376" s="22" t="e">
        <f aca="false">arclethnm(C375,D375,C376,D376)/6</f>
        <v>#NAME?</v>
      </c>
      <c r="H376" s="22" t="e">
        <f aca="false">G376*0.5144</f>
        <v>#NAME?</v>
      </c>
      <c r="I376" s="18" t="n">
        <v>0</v>
      </c>
    </row>
    <row r="377" customFormat="false" ht="12.75" hidden="false" customHeight="false" outlineLevel="0" collapsed="false">
      <c r="A377" s="18" t="n">
        <f aca="false">B377-0.5</f>
        <v>5.75</v>
      </c>
      <c r="B377" s="18" t="n">
        <f aca="false">B376+0.25</f>
        <v>6.25</v>
      </c>
      <c r="C377" s="18" t="n">
        <v>17.3</v>
      </c>
      <c r="D377" s="18" t="n">
        <v>-81.5</v>
      </c>
      <c r="E377" s="18" t="n">
        <v>85</v>
      </c>
      <c r="F377" s="18" t="n">
        <f aca="false">E377*0.5144</f>
        <v>43.724</v>
      </c>
      <c r="G377" s="22" t="e">
        <f aca="false">arclethnm(C376,D376,C377,D377)/6</f>
        <v>#NAME?</v>
      </c>
      <c r="H377" s="22" t="e">
        <f aca="false">G377*0.5144</f>
        <v>#NAME?</v>
      </c>
      <c r="I377" s="18" t="n">
        <v>0</v>
      </c>
    </row>
    <row r="378" customFormat="false" ht="12.75" hidden="false" customHeight="false" outlineLevel="0" collapsed="false">
      <c r="A378" s="18" t="n">
        <f aca="false">B378-0.5</f>
        <v>6</v>
      </c>
      <c r="B378" s="18" t="n">
        <f aca="false">B377+0.25</f>
        <v>6.5</v>
      </c>
      <c r="C378" s="18" t="n">
        <v>18</v>
      </c>
      <c r="D378" s="18" t="n">
        <v>-83</v>
      </c>
      <c r="E378" s="18" t="n">
        <v>85</v>
      </c>
      <c r="F378" s="18" t="n">
        <f aca="false">E378*0.5144</f>
        <v>43.724</v>
      </c>
      <c r="G378" s="22" t="e">
        <f aca="false">arclethnm(C377,D377,C378,D378)/6</f>
        <v>#NAME?</v>
      </c>
      <c r="H378" s="22" t="e">
        <f aca="false">G378*0.5144</f>
        <v>#NAME?</v>
      </c>
      <c r="I378" s="18" t="n">
        <v>0</v>
      </c>
    </row>
    <row r="379" customFormat="false" ht="12.75" hidden="false" customHeight="false" outlineLevel="0" collapsed="false">
      <c r="A379" s="18" t="n">
        <f aca="false">B379-0.5</f>
        <v>6.25</v>
      </c>
      <c r="B379" s="18" t="n">
        <f aca="false">B378+0.25</f>
        <v>6.75</v>
      </c>
      <c r="C379" s="18" t="n">
        <v>18.7</v>
      </c>
      <c r="D379" s="18" t="n">
        <v>-84.1</v>
      </c>
      <c r="E379" s="18" t="n">
        <v>85</v>
      </c>
      <c r="F379" s="18" t="n">
        <f aca="false">E379*0.5144</f>
        <v>43.724</v>
      </c>
      <c r="G379" s="22" t="e">
        <f aca="false">arclethnm(C378,D378,C379,D379)/6</f>
        <v>#NAME?</v>
      </c>
      <c r="H379" s="22" t="e">
        <f aca="false">G379*0.5144</f>
        <v>#NAME?</v>
      </c>
      <c r="I379" s="18" t="n">
        <v>0</v>
      </c>
    </row>
    <row r="380" customFormat="false" ht="12.75" hidden="false" customHeight="false" outlineLevel="0" collapsed="false">
      <c r="A380" s="18" t="n">
        <f aca="false">B380-0.5</f>
        <v>6.5</v>
      </c>
      <c r="B380" s="18" t="n">
        <f aca="false">B379+0.25</f>
        <v>7</v>
      </c>
      <c r="C380" s="18" t="n">
        <v>19.5</v>
      </c>
      <c r="D380" s="18" t="n">
        <v>-85.1</v>
      </c>
      <c r="E380" s="18" t="n">
        <v>85</v>
      </c>
      <c r="F380" s="18" t="n">
        <f aca="false">E380*0.5144</f>
        <v>43.724</v>
      </c>
      <c r="G380" s="22" t="e">
        <f aca="false">arclethnm(C379,D379,C380,D380)/6</f>
        <v>#NAME?</v>
      </c>
      <c r="H380" s="22" t="e">
        <f aca="false">G380*0.5144</f>
        <v>#NAME?</v>
      </c>
      <c r="I380" s="18" t="n">
        <v>0</v>
      </c>
    </row>
    <row r="381" customFormat="false" ht="12.75" hidden="false" customHeight="false" outlineLevel="0" collapsed="false">
      <c r="A381" s="18" t="n">
        <f aca="false">B381-0.5</f>
        <v>6.75</v>
      </c>
      <c r="B381" s="18" t="n">
        <f aca="false">B380+0.25</f>
        <v>7.25</v>
      </c>
      <c r="C381" s="18" t="n">
        <v>20.3</v>
      </c>
      <c r="D381" s="18" t="n">
        <v>-85.9</v>
      </c>
      <c r="E381" s="18" t="n">
        <v>85</v>
      </c>
      <c r="F381" s="18" t="n">
        <f aca="false">E381*0.5144</f>
        <v>43.724</v>
      </c>
      <c r="G381" s="22" t="e">
        <f aca="false">arclethnm(C380,D380,C381,D381)/6</f>
        <v>#NAME?</v>
      </c>
      <c r="H381" s="22" t="e">
        <f aca="false">G381*0.5144</f>
        <v>#NAME?</v>
      </c>
      <c r="I381" s="18" t="n">
        <v>0</v>
      </c>
    </row>
    <row r="382" customFormat="false" ht="12.75" hidden="false" customHeight="false" outlineLevel="0" collapsed="false">
      <c r="A382" s="18" t="n">
        <f aca="false">B382-0.5</f>
        <v>7</v>
      </c>
      <c r="B382" s="18" t="n">
        <f aca="false">B381+0.25</f>
        <v>7.5</v>
      </c>
      <c r="C382" s="18" t="n">
        <v>21</v>
      </c>
      <c r="D382" s="18" t="n">
        <v>-86.6</v>
      </c>
      <c r="E382" s="18" t="n">
        <v>85</v>
      </c>
      <c r="F382" s="18" t="n">
        <f aca="false">E382*0.5144</f>
        <v>43.724</v>
      </c>
      <c r="G382" s="22" t="e">
        <f aca="false">arclethnm(C381,D381,C382,D382)/6</f>
        <v>#NAME?</v>
      </c>
      <c r="H382" s="22" t="e">
        <f aca="false">G382*0.5144</f>
        <v>#NAME?</v>
      </c>
      <c r="I382" s="18" t="n">
        <v>0</v>
      </c>
    </row>
    <row r="383" customFormat="false" ht="12.75" hidden="false" customHeight="false" outlineLevel="0" collapsed="false">
      <c r="A383" s="18" t="n">
        <f aca="false">B383-0.5</f>
        <v>7.25</v>
      </c>
      <c r="B383" s="18" t="n">
        <f aca="false">B382+0.25</f>
        <v>7.75</v>
      </c>
      <c r="C383" s="18" t="n">
        <v>21.4</v>
      </c>
      <c r="D383" s="18" t="n">
        <v>-87.2</v>
      </c>
      <c r="E383" s="18" t="n">
        <v>75</v>
      </c>
      <c r="F383" s="18" t="n">
        <f aca="false">E383*0.5144</f>
        <v>38.58</v>
      </c>
      <c r="G383" s="22" t="e">
        <f aca="false">arclethnm(C382,D382,C383,D383)/6</f>
        <v>#NAME?</v>
      </c>
      <c r="H383" s="22" t="e">
        <f aca="false">G383*0.5144</f>
        <v>#NAME?</v>
      </c>
      <c r="I383" s="18" t="n">
        <v>0</v>
      </c>
    </row>
    <row r="384" customFormat="false" ht="12.75" hidden="false" customHeight="false" outlineLevel="0" collapsed="false">
      <c r="A384" s="18" t="n">
        <f aca="false">B384-0.5</f>
        <v>7.5</v>
      </c>
      <c r="B384" s="18" t="n">
        <f aca="false">B383+0.25</f>
        <v>8</v>
      </c>
      <c r="C384" s="18" t="n">
        <v>21.9</v>
      </c>
      <c r="D384" s="18" t="n">
        <v>-87.7</v>
      </c>
      <c r="E384" s="18" t="n">
        <v>80</v>
      </c>
      <c r="F384" s="18" t="n">
        <f aca="false">E384*0.5144</f>
        <v>41.152</v>
      </c>
      <c r="G384" s="22" t="e">
        <f aca="false">arclethnm(C383,D383,C384,D384)/6</f>
        <v>#NAME?</v>
      </c>
      <c r="H384" s="22" t="e">
        <f aca="false">G384*0.5144</f>
        <v>#NAME?</v>
      </c>
      <c r="I384" s="18" t="n">
        <v>0</v>
      </c>
    </row>
    <row r="385" customFormat="false" ht="12.75" hidden="false" customHeight="false" outlineLevel="0" collapsed="false">
      <c r="A385" s="18" t="n">
        <f aca="false">B385-0.5</f>
        <v>7.75</v>
      </c>
      <c r="B385" s="18" t="n">
        <f aca="false">B384+0.25</f>
        <v>8.25</v>
      </c>
      <c r="C385" s="18" t="n">
        <v>22.3</v>
      </c>
      <c r="D385" s="18" t="n">
        <v>-88.3</v>
      </c>
      <c r="E385" s="18" t="n">
        <v>85</v>
      </c>
      <c r="F385" s="18" t="n">
        <f aca="false">E385*0.5144</f>
        <v>43.724</v>
      </c>
      <c r="G385" s="22" t="e">
        <f aca="false">arclethnm(C384,D384,C385,D385)/6</f>
        <v>#NAME?</v>
      </c>
      <c r="H385" s="22" t="e">
        <f aca="false">G385*0.5144</f>
        <v>#NAME?</v>
      </c>
      <c r="I385" s="18" t="n">
        <v>0</v>
      </c>
    </row>
    <row r="386" customFormat="false" ht="12.75" hidden="false" customHeight="false" outlineLevel="0" collapsed="false">
      <c r="A386" s="18" t="n">
        <f aca="false">B386-0.5</f>
        <v>8</v>
      </c>
      <c r="B386" s="18" t="n">
        <f aca="false">B385+0.25</f>
        <v>8.5</v>
      </c>
      <c r="C386" s="18" t="n">
        <v>22.7</v>
      </c>
      <c r="D386" s="18" t="n">
        <v>-88.8</v>
      </c>
      <c r="E386" s="18" t="n">
        <v>85</v>
      </c>
      <c r="F386" s="18" t="n">
        <f aca="false">E386*0.5144</f>
        <v>43.724</v>
      </c>
      <c r="G386" s="22" t="e">
        <f aca="false">arclethnm(C385,D385,C386,D386)/6</f>
        <v>#NAME?</v>
      </c>
      <c r="H386" s="22" t="e">
        <f aca="false">G386*0.5144</f>
        <v>#NAME?</v>
      </c>
      <c r="I386" s="18" t="n">
        <v>0</v>
      </c>
    </row>
    <row r="387" customFormat="false" ht="12.75" hidden="false" customHeight="false" outlineLevel="0" collapsed="false">
      <c r="A387" s="18" t="n">
        <f aca="false">B387-0.5</f>
        <v>8.25</v>
      </c>
      <c r="B387" s="18" t="n">
        <f aca="false">B386+0.25</f>
        <v>8.75</v>
      </c>
      <c r="C387" s="18" t="n">
        <v>23.1</v>
      </c>
      <c r="D387" s="18" t="n">
        <v>-89.3</v>
      </c>
      <c r="E387" s="18" t="n">
        <v>85</v>
      </c>
      <c r="F387" s="18" t="n">
        <f aca="false">E387*0.5144</f>
        <v>43.724</v>
      </c>
      <c r="G387" s="22" t="e">
        <f aca="false">arclethnm(C386,D386,C387,D387)/6</f>
        <v>#NAME?</v>
      </c>
      <c r="H387" s="22" t="e">
        <f aca="false">G387*0.5144</f>
        <v>#NAME?</v>
      </c>
      <c r="I387" s="18" t="n">
        <v>0</v>
      </c>
    </row>
    <row r="388" customFormat="false" ht="12.75" hidden="false" customHeight="false" outlineLevel="0" collapsed="false">
      <c r="A388" s="18" t="n">
        <f aca="false">B388-0.5</f>
        <v>8.5</v>
      </c>
      <c r="B388" s="18" t="n">
        <f aca="false">B387+0.25</f>
        <v>9</v>
      </c>
      <c r="C388" s="18" t="n">
        <v>23.5</v>
      </c>
      <c r="D388" s="18" t="n">
        <v>-89.8</v>
      </c>
      <c r="E388" s="18" t="n">
        <v>85</v>
      </c>
      <c r="F388" s="18" t="n">
        <f aca="false">E388*0.5144</f>
        <v>43.724</v>
      </c>
      <c r="G388" s="22" t="e">
        <f aca="false">arclethnm(C387,D387,C388,D388)/6</f>
        <v>#NAME?</v>
      </c>
      <c r="H388" s="22" t="e">
        <f aca="false">G388*0.5144</f>
        <v>#NAME?</v>
      </c>
      <c r="I388" s="18" t="n">
        <v>0</v>
      </c>
    </row>
    <row r="389" customFormat="false" ht="12.75" hidden="false" customHeight="false" outlineLevel="0" collapsed="false">
      <c r="A389" s="18" t="n">
        <f aca="false">B389-0.5</f>
        <v>8.75</v>
      </c>
      <c r="B389" s="18" t="n">
        <f aca="false">B388+0.25</f>
        <v>9.25</v>
      </c>
      <c r="C389" s="18" t="n">
        <v>23.9</v>
      </c>
      <c r="D389" s="18" t="n">
        <v>-90.3</v>
      </c>
      <c r="E389" s="18" t="n">
        <v>85</v>
      </c>
      <c r="F389" s="18" t="n">
        <f aca="false">E389*0.5144</f>
        <v>43.724</v>
      </c>
      <c r="G389" s="22" t="e">
        <f aca="false">arclethnm(C388,D388,C389,D389)/6</f>
        <v>#NAME?</v>
      </c>
      <c r="H389" s="22" t="e">
        <f aca="false">G389*0.5144</f>
        <v>#NAME?</v>
      </c>
      <c r="I389" s="18" t="n">
        <v>0</v>
      </c>
    </row>
    <row r="390" customFormat="false" ht="12.75" hidden="false" customHeight="false" outlineLevel="0" collapsed="false">
      <c r="A390" s="18" t="n">
        <f aca="false">B390-0.5</f>
        <v>9</v>
      </c>
      <c r="B390" s="18" t="n">
        <f aca="false">B389+0.25</f>
        <v>9.5</v>
      </c>
      <c r="C390" s="18" t="n">
        <v>24.5</v>
      </c>
      <c r="D390" s="18" t="n">
        <v>-91</v>
      </c>
      <c r="E390" s="18" t="n">
        <v>85</v>
      </c>
      <c r="F390" s="18" t="n">
        <f aca="false">E390*0.5144</f>
        <v>43.724</v>
      </c>
      <c r="G390" s="22" t="e">
        <f aca="false">arclethnm(C389,D389,C390,D390)/6</f>
        <v>#NAME?</v>
      </c>
      <c r="H390" s="22" t="e">
        <f aca="false">G390*0.5144</f>
        <v>#NAME?</v>
      </c>
      <c r="I390" s="18" t="n">
        <v>0</v>
      </c>
    </row>
    <row r="391" customFormat="false" ht="12.75" hidden="false" customHeight="false" outlineLevel="0" collapsed="false">
      <c r="A391" s="18" t="n">
        <f aca="false">B391-0.5</f>
        <v>9.25</v>
      </c>
      <c r="B391" s="18" t="n">
        <f aca="false">B390+0.25</f>
        <v>9.75</v>
      </c>
      <c r="C391" s="18" t="n">
        <v>25</v>
      </c>
      <c r="D391" s="18" t="n">
        <v>-91.7</v>
      </c>
      <c r="E391" s="18" t="n">
        <v>85</v>
      </c>
      <c r="F391" s="18" t="n">
        <f aca="false">E391*0.5144</f>
        <v>43.724</v>
      </c>
      <c r="G391" s="22" t="e">
        <f aca="false">arclethnm(C390,D390,C391,D391)/6</f>
        <v>#NAME?</v>
      </c>
      <c r="H391" s="22" t="e">
        <f aca="false">G391*0.5144</f>
        <v>#NAME?</v>
      </c>
      <c r="I391" s="18" t="n">
        <v>0</v>
      </c>
    </row>
    <row r="392" customFormat="false" ht="12.75" hidden="false" customHeight="false" outlineLevel="0" collapsed="false">
      <c r="A392" s="18" t="n">
        <f aca="false">B392-0.5</f>
        <v>9.5</v>
      </c>
      <c r="B392" s="18" t="n">
        <f aca="false">B391+0.25</f>
        <v>10</v>
      </c>
      <c r="C392" s="18" t="n">
        <v>25.4</v>
      </c>
      <c r="D392" s="18" t="n">
        <v>-92.3</v>
      </c>
      <c r="E392" s="18" t="n">
        <v>85</v>
      </c>
      <c r="F392" s="18" t="n">
        <f aca="false">E392*0.5144</f>
        <v>43.724</v>
      </c>
      <c r="G392" s="22" t="e">
        <f aca="false">arclethnm(C391,D391,C392,D392)/6</f>
        <v>#NAME?</v>
      </c>
      <c r="H392" s="22" t="e">
        <f aca="false">G392*0.5144</f>
        <v>#NAME?</v>
      </c>
      <c r="I392" s="18" t="n">
        <v>0</v>
      </c>
    </row>
    <row r="393" customFormat="false" ht="12.75" hidden="false" customHeight="false" outlineLevel="0" collapsed="false">
      <c r="A393" s="18" t="n">
        <f aca="false">B393-0.5</f>
        <v>9.75</v>
      </c>
      <c r="B393" s="18" t="n">
        <f aca="false">B392+0.25</f>
        <v>10.25</v>
      </c>
      <c r="C393" s="18" t="n">
        <v>25.8</v>
      </c>
      <c r="D393" s="18" t="n">
        <v>-93.1</v>
      </c>
      <c r="E393" s="18" t="n">
        <v>85</v>
      </c>
      <c r="F393" s="18" t="n">
        <f aca="false">E393*0.5144</f>
        <v>43.724</v>
      </c>
      <c r="G393" s="22" t="e">
        <f aca="false">arclethnm(C392,D392,C393,D393)/6</f>
        <v>#NAME?</v>
      </c>
      <c r="H393" s="22" t="e">
        <f aca="false">G393*0.5144</f>
        <v>#NAME?</v>
      </c>
      <c r="I393" s="18" t="n">
        <v>0</v>
      </c>
    </row>
    <row r="394" customFormat="false" ht="12.75" hidden="false" customHeight="false" outlineLevel="0" collapsed="false">
      <c r="A394" s="18" t="n">
        <f aca="false">B394-0.5</f>
        <v>10</v>
      </c>
      <c r="B394" s="18" t="n">
        <f aca="false">B393+0.25</f>
        <v>10.5</v>
      </c>
      <c r="C394" s="18" t="n">
        <v>26</v>
      </c>
      <c r="D394" s="18" t="n">
        <v>-94</v>
      </c>
      <c r="E394" s="18" t="n">
        <v>85</v>
      </c>
      <c r="F394" s="18" t="n">
        <f aca="false">E394*0.5144</f>
        <v>43.724</v>
      </c>
      <c r="G394" s="22" t="e">
        <f aca="false">arclethnm(C393,D393,C394,D394)/6</f>
        <v>#NAME?</v>
      </c>
      <c r="H394" s="22" t="e">
        <f aca="false">G394*0.5144</f>
        <v>#NAME?</v>
      </c>
      <c r="I394" s="18" t="n">
        <v>0</v>
      </c>
    </row>
    <row r="395" customFormat="false" ht="12.75" hidden="false" customHeight="false" outlineLevel="0" collapsed="false">
      <c r="A395" s="18" t="n">
        <f aca="false">B395-0.5</f>
        <v>10.25</v>
      </c>
      <c r="B395" s="18" t="n">
        <f aca="false">B394+0.25</f>
        <v>10.75</v>
      </c>
      <c r="C395" s="18" t="n">
        <v>26.1</v>
      </c>
      <c r="D395" s="18" t="n">
        <v>-94.8</v>
      </c>
      <c r="E395" s="18" t="n">
        <v>85</v>
      </c>
      <c r="F395" s="18" t="n">
        <f aca="false">E395*0.5144</f>
        <v>43.724</v>
      </c>
      <c r="G395" s="22" t="e">
        <f aca="false">arclethnm(C394,D394,C395,D395)/6</f>
        <v>#NAME?</v>
      </c>
      <c r="H395" s="22" t="e">
        <f aca="false">G395*0.5144</f>
        <v>#NAME?</v>
      </c>
      <c r="I395" s="18" t="n">
        <v>0</v>
      </c>
    </row>
    <row r="396" customFormat="false" ht="12.75" hidden="false" customHeight="false" outlineLevel="0" collapsed="false">
      <c r="A396" s="18" t="n">
        <f aca="false">B396-0.5</f>
        <v>10.5</v>
      </c>
      <c r="B396" s="18" t="n">
        <f aca="false">B395+0.25</f>
        <v>11</v>
      </c>
      <c r="C396" s="18" t="n">
        <v>26.1</v>
      </c>
      <c r="D396" s="18" t="n">
        <v>-95.6</v>
      </c>
      <c r="E396" s="18" t="n">
        <v>85</v>
      </c>
      <c r="F396" s="18" t="n">
        <f aca="false">E396*0.5144</f>
        <v>43.724</v>
      </c>
      <c r="G396" s="22" t="e">
        <f aca="false">arclethnm(C395,D395,C396,D396)/6</f>
        <v>#NAME?</v>
      </c>
      <c r="H396" s="22" t="e">
        <f aca="false">G396*0.5144</f>
        <v>#NAME?</v>
      </c>
      <c r="I396" s="18" t="n">
        <v>0</v>
      </c>
    </row>
    <row r="397" customFormat="false" ht="12.75" hidden="false" customHeight="false" outlineLevel="0" collapsed="false">
      <c r="A397" s="18" t="n">
        <f aca="false">B397-0.5</f>
        <v>10.75</v>
      </c>
      <c r="B397" s="18" t="n">
        <f aca="false">B396+0.25</f>
        <v>11.25</v>
      </c>
      <c r="C397" s="18" t="n">
        <v>26.1</v>
      </c>
      <c r="D397" s="18" t="n">
        <v>-96.2</v>
      </c>
      <c r="E397" s="18" t="n">
        <v>80</v>
      </c>
      <c r="F397" s="18" t="n">
        <f aca="false">E397*0.5144</f>
        <v>41.152</v>
      </c>
      <c r="G397" s="22" t="e">
        <f aca="false">arclethnm(C396,D396,C397,D397)/6</f>
        <v>#NAME?</v>
      </c>
      <c r="H397" s="22" t="e">
        <f aca="false">G397*0.5144</f>
        <v>#NAME?</v>
      </c>
      <c r="I397" s="18" t="n">
        <v>0</v>
      </c>
    </row>
    <row r="398" customFormat="false" ht="12.75" hidden="false" customHeight="false" outlineLevel="0" collapsed="false">
      <c r="A398" s="18" t="n">
        <f aca="false">B398-0.5</f>
        <v>11</v>
      </c>
      <c r="B398" s="18" t="n">
        <f aca="false">B397+0.25</f>
        <v>11.5</v>
      </c>
      <c r="C398" s="18" t="n">
        <v>26.1</v>
      </c>
      <c r="D398" s="18" t="n">
        <v>-96.8</v>
      </c>
      <c r="E398" s="18" t="n">
        <v>75</v>
      </c>
      <c r="F398" s="18" t="n">
        <f aca="false">E398*0.5144</f>
        <v>38.58</v>
      </c>
      <c r="G398" s="22" t="e">
        <f aca="false">arclethnm(C397,D397,C398,D398)/6</f>
        <v>#NAME?</v>
      </c>
      <c r="H398" s="22" t="e">
        <f aca="false">G398*0.5144</f>
        <v>#NAME?</v>
      </c>
      <c r="I398" s="18" t="n">
        <v>0</v>
      </c>
    </row>
    <row r="399" customFormat="false" ht="12.75" hidden="false" customHeight="false" outlineLevel="0" collapsed="false">
      <c r="A399" s="18" t="n">
        <f aca="false">B399-0.5</f>
        <v>11.25</v>
      </c>
      <c r="B399" s="18" t="n">
        <f aca="false">B398+0.25</f>
        <v>11.75</v>
      </c>
      <c r="C399" s="18" t="n">
        <v>26.1</v>
      </c>
      <c r="D399" s="18" t="n">
        <v>-97.2</v>
      </c>
      <c r="E399" s="18" t="n">
        <v>75</v>
      </c>
      <c r="F399" s="18" t="n">
        <f aca="false">E399*0.5144</f>
        <v>38.58</v>
      </c>
      <c r="G399" s="22" t="e">
        <f aca="false">arclethnm(C398,D398,C399,D399)/6</f>
        <v>#NAME?</v>
      </c>
      <c r="H399" s="22" t="e">
        <f aca="false">G399*0.5144</f>
        <v>#NAME?</v>
      </c>
      <c r="I399" s="18" t="n">
        <v>0</v>
      </c>
    </row>
    <row r="400" customFormat="false" ht="12.75" hidden="false" customHeight="false" outlineLevel="0" collapsed="false">
      <c r="A400" s="18" t="n">
        <f aca="false">B400-0.5</f>
        <v>11.5</v>
      </c>
      <c r="B400" s="18" t="n">
        <f aca="false">B399+0.25</f>
        <v>12</v>
      </c>
      <c r="C400" s="18" t="n">
        <v>26.1</v>
      </c>
      <c r="D400" s="18" t="n">
        <v>-97.3</v>
      </c>
      <c r="E400" s="18" t="n">
        <v>75</v>
      </c>
      <c r="F400" s="18" t="n">
        <f aca="false">E400*0.5144</f>
        <v>38.58</v>
      </c>
      <c r="G400" s="22" t="e">
        <f aca="false">arclethnm(C399,D399,C400,D400)/6</f>
        <v>#NAME?</v>
      </c>
      <c r="H400" s="22" t="e">
        <f aca="false">G400*0.5144</f>
        <v>#NAME?</v>
      </c>
      <c r="I400" s="18" t="n">
        <v>973</v>
      </c>
    </row>
    <row r="401" customFormat="false" ht="12.75" hidden="false" customHeight="false" outlineLevel="0" collapsed="false">
      <c r="A401" s="18" t="n">
        <f aca="false">B401-0.5</f>
        <v>11.75</v>
      </c>
      <c r="B401" s="18" t="n">
        <f aca="false">B400+0.25</f>
        <v>12.25</v>
      </c>
      <c r="C401" s="18" t="n">
        <v>26</v>
      </c>
      <c r="D401" s="18" t="n">
        <v>-97.9</v>
      </c>
      <c r="E401" s="18" t="n">
        <v>60</v>
      </c>
      <c r="F401" s="18" t="n">
        <f aca="false">E401*0.5144</f>
        <v>30.864</v>
      </c>
      <c r="G401" s="22" t="e">
        <f aca="false">arclethnm(C400,D400,C401,D401)/6</f>
        <v>#NAME?</v>
      </c>
      <c r="H401" s="22" t="e">
        <f aca="false">G401*0.5144</f>
        <v>#NAME?</v>
      </c>
      <c r="I401" s="18" t="n">
        <v>0</v>
      </c>
    </row>
    <row r="402" customFormat="false" ht="12.75" hidden="false" customHeight="false" outlineLevel="0" collapsed="false">
      <c r="A402" s="18" t="n">
        <f aca="false">B402-0.5</f>
        <v>12</v>
      </c>
      <c r="B402" s="18" t="n">
        <f aca="false">B401+0.25</f>
        <v>12.5</v>
      </c>
      <c r="C402" s="18" t="n">
        <v>25.8</v>
      </c>
      <c r="D402" s="18" t="n">
        <v>-98.4</v>
      </c>
      <c r="E402" s="18" t="n">
        <v>45</v>
      </c>
      <c r="F402" s="18" t="n">
        <f aca="false">E402*0.5144</f>
        <v>23.148</v>
      </c>
      <c r="G402" s="22" t="e">
        <f aca="false">arclethnm(C401,D401,C402,D402)/6</f>
        <v>#NAME?</v>
      </c>
      <c r="H402" s="22" t="e">
        <f aca="false">G402*0.5144</f>
        <v>#NAME?</v>
      </c>
      <c r="I402" s="18" t="n">
        <v>0</v>
      </c>
    </row>
    <row r="403" customFormat="false" ht="12.75" hidden="false" customHeight="false" outlineLevel="0" collapsed="false">
      <c r="A403" s="18" t="n">
        <f aca="false">B403-0.5</f>
        <v>12.25</v>
      </c>
      <c r="B403" s="18" t="n">
        <f aca="false">B402+0.25</f>
        <v>12.75</v>
      </c>
      <c r="C403" s="18" t="n">
        <v>25.5</v>
      </c>
      <c r="D403" s="18" t="n">
        <v>-98.9</v>
      </c>
      <c r="E403" s="18" t="n">
        <v>35</v>
      </c>
      <c r="F403" s="18" t="n">
        <f aca="false">E403*0.5144</f>
        <v>18.004</v>
      </c>
      <c r="G403" s="22" t="e">
        <f aca="false">arclethnm(C402,D402,C403,D403)/6</f>
        <v>#NAME?</v>
      </c>
      <c r="H403" s="22" t="e">
        <f aca="false">G403*0.5144</f>
        <v>#NAME?</v>
      </c>
      <c r="I403" s="18" t="n">
        <v>0</v>
      </c>
    </row>
    <row r="404" customFormat="false" ht="12.75" hidden="false" customHeight="false" outlineLevel="0" collapsed="false">
      <c r="A404" s="18" t="n">
        <f aca="false">B404-0.5</f>
        <v>12.5</v>
      </c>
      <c r="B404" s="18" t="n">
        <f aca="false">B403+0.25</f>
        <v>13</v>
      </c>
      <c r="C404" s="18" t="n">
        <v>25</v>
      </c>
      <c r="D404" s="18" t="n">
        <v>-99.6</v>
      </c>
      <c r="E404" s="18" t="n">
        <v>30</v>
      </c>
      <c r="F404" s="18" t="n">
        <f aca="false">E404*0.5144</f>
        <v>15.432</v>
      </c>
      <c r="G404" s="22" t="e">
        <f aca="false">arclethnm(C403,D403,C404,D404)/6</f>
        <v>#NAME?</v>
      </c>
      <c r="H404" s="22" t="e">
        <f aca="false">G404*0.5144</f>
        <v>#NAME?</v>
      </c>
      <c r="I404" s="18" t="n">
        <v>0</v>
      </c>
    </row>
    <row r="405" customFormat="false" ht="12.75" hidden="false" customHeight="false" outlineLevel="0" collapsed="false">
      <c r="A405" s="0"/>
      <c r="B405" s="0"/>
      <c r="C405" s="0"/>
      <c r="D405" s="0"/>
      <c r="E405" s="0"/>
      <c r="F405" s="0"/>
      <c r="G405" s="22"/>
      <c r="H405" s="22"/>
      <c r="I405" s="0"/>
    </row>
    <row r="406" customFormat="false" ht="12.75" hidden="false" customHeight="false" outlineLevel="0" collapsed="false">
      <c r="A406" s="0"/>
      <c r="B406" s="0"/>
      <c r="C406" s="0"/>
      <c r="D406" s="0"/>
      <c r="E406" s="0"/>
      <c r="F406" s="0"/>
      <c r="G406" s="22"/>
      <c r="H406" s="22"/>
      <c r="I406" s="0"/>
    </row>
    <row r="407" customFormat="false" ht="12.75" hidden="false" customHeight="false" outlineLevel="0" collapsed="false">
      <c r="A407" s="0"/>
      <c r="B407" s="20" t="n">
        <v>1888</v>
      </c>
      <c r="C407" s="20" t="s">
        <v>18</v>
      </c>
      <c r="D407" s="20" t="s">
        <v>78</v>
      </c>
      <c r="E407" s="0"/>
      <c r="F407" s="0"/>
      <c r="G407" s="22"/>
      <c r="H407" s="22"/>
      <c r="I407" s="0"/>
    </row>
    <row r="408" customFormat="false" ht="12.75" hidden="false" customHeight="false" outlineLevel="0" collapsed="false">
      <c r="A408" s="0"/>
      <c r="B408" s="0"/>
      <c r="C408" s="0"/>
      <c r="D408" s="0"/>
      <c r="E408" s="0"/>
      <c r="F408" s="0"/>
      <c r="G408" s="22"/>
      <c r="H408" s="22"/>
      <c r="I408" s="0"/>
    </row>
    <row r="409" customFormat="false" ht="12.75" hidden="false" customHeight="false" outlineLevel="0" collapsed="false">
      <c r="A409" s="18" t="n">
        <v>1</v>
      </c>
      <c r="B409" s="18" t="n">
        <v>1</v>
      </c>
      <c r="C409" s="18" t="n">
        <v>27.5</v>
      </c>
      <c r="D409" s="18" t="n">
        <v>-93.2</v>
      </c>
      <c r="E409" s="18" t="n">
        <v>35</v>
      </c>
      <c r="F409" s="18" t="n">
        <f aca="false">E409*0.5144</f>
        <v>18.004</v>
      </c>
      <c r="G409" s="22"/>
      <c r="H409" s="22"/>
      <c r="I409" s="18" t="n">
        <v>0</v>
      </c>
    </row>
    <row r="410" customFormat="false" ht="12.75" hidden="false" customHeight="false" outlineLevel="0" collapsed="false">
      <c r="A410" s="18" t="n">
        <f aca="false">A409+0.25</f>
        <v>1.25</v>
      </c>
      <c r="B410" s="18" t="n">
        <f aca="false">B409+0.25</f>
        <v>1.25</v>
      </c>
      <c r="C410" s="18" t="n">
        <v>27.7</v>
      </c>
      <c r="D410" s="18" t="n">
        <v>-93.7</v>
      </c>
      <c r="E410" s="18" t="n">
        <v>45</v>
      </c>
      <c r="F410" s="18" t="n">
        <f aca="false">E410*0.5144</f>
        <v>23.148</v>
      </c>
      <c r="G410" s="22" t="e">
        <f aca="false">arclethnm(C409,D409,C410,D410)/6</f>
        <v>#NAME?</v>
      </c>
      <c r="H410" s="22" t="e">
        <f aca="false">G410*0.5144</f>
        <v>#NAME?</v>
      </c>
      <c r="I410" s="18" t="n">
        <v>0</v>
      </c>
    </row>
    <row r="411" customFormat="false" ht="12.75" hidden="false" customHeight="false" outlineLevel="0" collapsed="false">
      <c r="A411" s="18" t="n">
        <f aca="false">A410+0.25</f>
        <v>1.5</v>
      </c>
      <c r="B411" s="18" t="n">
        <f aca="false">B410+0.25</f>
        <v>1.5</v>
      </c>
      <c r="C411" s="18" t="n">
        <v>28</v>
      </c>
      <c r="D411" s="18" t="n">
        <v>-94.3</v>
      </c>
      <c r="E411" s="18" t="n">
        <v>55</v>
      </c>
      <c r="F411" s="18" t="n">
        <f aca="false">E411*0.5144</f>
        <v>28.292</v>
      </c>
      <c r="G411" s="22" t="e">
        <f aca="false">arclethnm(C410,D410,C411,D411)/6</f>
        <v>#NAME?</v>
      </c>
      <c r="H411" s="22" t="e">
        <f aca="false">G411*0.5144</f>
        <v>#NAME?</v>
      </c>
      <c r="I411" s="18" t="n">
        <v>0</v>
      </c>
    </row>
    <row r="412" customFormat="false" ht="12.75" hidden="false" customHeight="false" outlineLevel="0" collapsed="false">
      <c r="A412" s="18" t="n">
        <f aca="false">A411+0.25</f>
        <v>1.75</v>
      </c>
      <c r="B412" s="18" t="n">
        <f aca="false">B411+0.25</f>
        <v>1.75</v>
      </c>
      <c r="C412" s="18" t="n">
        <v>28.2</v>
      </c>
      <c r="D412" s="18" t="n">
        <v>-94.8</v>
      </c>
      <c r="E412" s="18" t="n">
        <v>65</v>
      </c>
      <c r="F412" s="18" t="n">
        <f aca="false">E412*0.5144</f>
        <v>33.436</v>
      </c>
      <c r="G412" s="22" t="e">
        <f aca="false">arclethnm(C411,D411,C412,D412)/6</f>
        <v>#NAME?</v>
      </c>
      <c r="H412" s="22" t="e">
        <f aca="false">G412*0.5144</f>
        <v>#NAME?</v>
      </c>
      <c r="I412" s="18" t="n">
        <v>0</v>
      </c>
    </row>
    <row r="413" customFormat="false" ht="12.75" hidden="false" customHeight="false" outlineLevel="0" collapsed="false">
      <c r="A413" s="18" t="n">
        <f aca="false">A412+0.25</f>
        <v>2</v>
      </c>
      <c r="B413" s="18" t="n">
        <f aca="false">B412+0.25</f>
        <v>2</v>
      </c>
      <c r="C413" s="18" t="n">
        <v>28.4</v>
      </c>
      <c r="D413" s="18" t="n">
        <v>-95.3</v>
      </c>
      <c r="E413" s="18" t="n">
        <v>70</v>
      </c>
      <c r="F413" s="18" t="n">
        <f aca="false">E413*0.5144</f>
        <v>36.008</v>
      </c>
      <c r="G413" s="22" t="e">
        <f aca="false">arclethnm(C412,D412,C413,D413)/6</f>
        <v>#NAME?</v>
      </c>
      <c r="H413" s="22" t="e">
        <f aca="false">G413*0.5144</f>
        <v>#NAME?</v>
      </c>
      <c r="I413" s="18" t="n">
        <v>0</v>
      </c>
    </row>
    <row r="414" customFormat="false" ht="12.75" hidden="false" customHeight="false" outlineLevel="0" collapsed="false">
      <c r="A414" s="18" t="n">
        <f aca="false">A413+0.25</f>
        <v>2.25</v>
      </c>
      <c r="B414" s="18" t="n">
        <f aca="false">B413+0.25</f>
        <v>2.25</v>
      </c>
      <c r="C414" s="18" t="n">
        <v>28.7</v>
      </c>
      <c r="D414" s="18" t="n">
        <v>-95.7</v>
      </c>
      <c r="E414" s="18" t="n">
        <v>70</v>
      </c>
      <c r="F414" s="18" t="n">
        <f aca="false">E414*0.5144</f>
        <v>36.008</v>
      </c>
      <c r="G414" s="22" t="e">
        <f aca="false">arclethnm(C413,D413,C414,D414)/6</f>
        <v>#NAME?</v>
      </c>
      <c r="H414" s="22" t="e">
        <f aca="false">G414*0.5144</f>
        <v>#NAME?</v>
      </c>
      <c r="I414" s="18" t="n">
        <v>0</v>
      </c>
    </row>
    <row r="415" customFormat="false" ht="12.75" hidden="false" customHeight="false" outlineLevel="0" collapsed="false">
      <c r="A415" s="18" t="n">
        <f aca="false">A414+0.25</f>
        <v>2.5</v>
      </c>
      <c r="B415" s="18" t="n">
        <f aca="false">B414+0.25</f>
        <v>2.5</v>
      </c>
      <c r="C415" s="18" t="n">
        <v>29</v>
      </c>
      <c r="D415" s="18" t="n">
        <v>-96</v>
      </c>
      <c r="E415" s="18" t="n">
        <v>50</v>
      </c>
      <c r="F415" s="18" t="n">
        <f aca="false">E415*0.5144</f>
        <v>25.72</v>
      </c>
      <c r="G415" s="22" t="e">
        <f aca="false">arclethnm(C414,D414,C415,D415)/6</f>
        <v>#NAME?</v>
      </c>
      <c r="H415" s="22" t="e">
        <f aca="false">G415*0.5144</f>
        <v>#NAME?</v>
      </c>
      <c r="I415" s="18" t="n">
        <v>0</v>
      </c>
    </row>
    <row r="416" customFormat="false" ht="12.75" hidden="false" customHeight="false" outlineLevel="0" collapsed="false">
      <c r="A416" s="18" t="n">
        <f aca="false">A415+0.25</f>
        <v>2.75</v>
      </c>
      <c r="B416" s="18" t="n">
        <f aca="false">B415+0.25</f>
        <v>2.75</v>
      </c>
      <c r="C416" s="18" t="n">
        <v>29.4</v>
      </c>
      <c r="D416" s="18" t="n">
        <v>-96.3</v>
      </c>
      <c r="E416" s="18" t="n">
        <v>40</v>
      </c>
      <c r="F416" s="18" t="n">
        <f aca="false">E416*0.5144</f>
        <v>20.576</v>
      </c>
      <c r="G416" s="22" t="e">
        <f aca="false">arclethnm(C415,D415,C416,D416)/6</f>
        <v>#NAME?</v>
      </c>
      <c r="H416" s="22" t="e">
        <f aca="false">G416*0.5144</f>
        <v>#NAME?</v>
      </c>
      <c r="I416" s="18" t="n">
        <v>0</v>
      </c>
    </row>
    <row r="417" customFormat="false" ht="12.75" hidden="false" customHeight="false" outlineLevel="0" collapsed="false">
      <c r="A417" s="18" t="n">
        <f aca="false">A416+0.25</f>
        <v>3</v>
      </c>
      <c r="B417" s="18" t="n">
        <f aca="false">B416+0.25</f>
        <v>3</v>
      </c>
      <c r="C417" s="18" t="n">
        <v>29.9</v>
      </c>
      <c r="D417" s="18" t="n">
        <v>-96.5</v>
      </c>
      <c r="E417" s="18" t="n">
        <v>35</v>
      </c>
      <c r="F417" s="18" t="n">
        <f aca="false">E417*0.5144</f>
        <v>18.004</v>
      </c>
      <c r="G417" s="22" t="e">
        <f aca="false">arclethnm(C416,D416,C417,D417)/6</f>
        <v>#NAME?</v>
      </c>
      <c r="H417" s="22" t="e">
        <f aca="false">G417*0.5144</f>
        <v>#NAME?</v>
      </c>
      <c r="I417" s="18" t="n">
        <v>0</v>
      </c>
    </row>
    <row r="418" customFormat="false" ht="12.75" hidden="false" customHeight="false" outlineLevel="0" collapsed="false">
      <c r="A418" s="18" t="n">
        <f aca="false">A417+0.25</f>
        <v>3.25</v>
      </c>
      <c r="B418" s="18" t="n">
        <f aca="false">B417+0.25</f>
        <v>3.25</v>
      </c>
      <c r="C418" s="18" t="n">
        <v>30.4</v>
      </c>
      <c r="D418" s="18" t="n">
        <v>-96.7</v>
      </c>
      <c r="E418" s="18" t="n">
        <v>30</v>
      </c>
      <c r="F418" s="18" t="n">
        <f aca="false">E418*0.5144</f>
        <v>15.432</v>
      </c>
      <c r="G418" s="22" t="e">
        <f aca="false">arclethnm(C417,D417,C418,D418)/6</f>
        <v>#NAME?</v>
      </c>
      <c r="H418" s="22" t="e">
        <f aca="false">G418*0.5144</f>
        <v>#NAME?</v>
      </c>
      <c r="I418" s="18" t="n">
        <v>0</v>
      </c>
    </row>
    <row r="419" customFormat="false" ht="12.75" hidden="false" customHeight="false" outlineLevel="0" collapsed="false">
      <c r="A419" s="18" t="n">
        <f aca="false">A418+0.25</f>
        <v>3.5</v>
      </c>
      <c r="B419" s="18" t="n">
        <f aca="false">B418+0.25</f>
        <v>3.5</v>
      </c>
      <c r="C419" s="18" t="n">
        <v>31</v>
      </c>
      <c r="D419" s="18" t="n">
        <v>-96.8</v>
      </c>
      <c r="E419" s="18" t="n">
        <v>30</v>
      </c>
      <c r="F419" s="18" t="n">
        <f aca="false">E419*0.5144</f>
        <v>15.432</v>
      </c>
      <c r="G419" s="22" t="e">
        <f aca="false">arclethnm(C418,D418,C419,D419)/6</f>
        <v>#NAME?</v>
      </c>
      <c r="H419" s="22" t="e">
        <f aca="false">G419*0.5144</f>
        <v>#NAME?</v>
      </c>
      <c r="I419" s="18" t="n">
        <v>0</v>
      </c>
    </row>
    <row r="420" customFormat="false" ht="12.75" hidden="false" customHeight="false" outlineLevel="0" collapsed="false">
      <c r="A420" s="18" t="n">
        <f aca="false">A419+0.25</f>
        <v>3.75</v>
      </c>
      <c r="B420" s="18" t="n">
        <f aca="false">B419+0.25</f>
        <v>3.75</v>
      </c>
      <c r="C420" s="18" t="n">
        <v>31.3</v>
      </c>
      <c r="D420" s="18" t="n">
        <v>-96.6</v>
      </c>
      <c r="E420" s="18" t="n">
        <v>25</v>
      </c>
      <c r="F420" s="18" t="n">
        <f aca="false">E420*0.5144</f>
        <v>12.86</v>
      </c>
      <c r="G420" s="22" t="e">
        <f aca="false">arclethnm(C419,D419,C420,D420)/6</f>
        <v>#NAME?</v>
      </c>
      <c r="H420" s="22" t="e">
        <f aca="false">G420*0.5144</f>
        <v>#NAME?</v>
      </c>
      <c r="I420" s="18" t="n">
        <v>0</v>
      </c>
    </row>
    <row r="421" customFormat="false" ht="12.75" hidden="false" customHeight="false" outlineLevel="0" collapsed="false">
      <c r="A421" s="0"/>
      <c r="B421" s="0"/>
      <c r="C421" s="0"/>
      <c r="D421" s="0"/>
      <c r="E421" s="0"/>
      <c r="F421" s="0"/>
      <c r="G421" s="22"/>
      <c r="H421" s="22"/>
      <c r="I421" s="0"/>
    </row>
    <row r="422" customFormat="false" ht="12.75" hidden="false" customHeight="false" outlineLevel="0" collapsed="false">
      <c r="A422" s="0"/>
      <c r="B422" s="0"/>
      <c r="C422" s="0"/>
      <c r="D422" s="0"/>
      <c r="E422" s="0"/>
      <c r="F422" s="0"/>
      <c r="G422" s="22"/>
      <c r="H422" s="22"/>
      <c r="I422" s="0"/>
    </row>
    <row r="423" customFormat="false" ht="12.75" hidden="false" customHeight="false" outlineLevel="0" collapsed="false">
      <c r="A423" s="0"/>
      <c r="B423" s="0"/>
      <c r="C423" s="0"/>
      <c r="D423" s="0"/>
      <c r="E423" s="0"/>
      <c r="F423" s="0"/>
      <c r="G423" s="22"/>
      <c r="H423" s="22"/>
      <c r="I423" s="0"/>
    </row>
    <row r="424" customFormat="false" ht="12.75" hidden="false" customHeight="false" outlineLevel="0" collapsed="false">
      <c r="A424" s="0"/>
      <c r="B424" s="0"/>
      <c r="C424" s="0"/>
      <c r="D424" s="0"/>
      <c r="E424" s="0"/>
      <c r="F424" s="0"/>
      <c r="G424" s="22"/>
      <c r="H424" s="22"/>
      <c r="I424" s="0"/>
    </row>
    <row r="425" customFormat="false" ht="12.75" hidden="false" customHeight="false" outlineLevel="0" collapsed="false">
      <c r="A425" s="0"/>
      <c r="B425" s="0"/>
      <c r="C425" s="0"/>
      <c r="D425" s="0"/>
      <c r="E425" s="0"/>
      <c r="F425" s="0"/>
      <c r="G425" s="22"/>
      <c r="H425" s="22"/>
      <c r="I425" s="0"/>
    </row>
    <row r="426" customFormat="false" ht="12.75" hidden="false" customHeight="false" outlineLevel="0" collapsed="false">
      <c r="A426" s="0"/>
      <c r="B426" s="20" t="n">
        <v>1891</v>
      </c>
      <c r="C426" s="20" t="s">
        <v>18</v>
      </c>
      <c r="D426" s="20" t="s">
        <v>79</v>
      </c>
      <c r="E426" s="0"/>
      <c r="F426" s="0"/>
      <c r="G426" s="22"/>
      <c r="H426" s="22"/>
      <c r="I426" s="0"/>
    </row>
    <row r="427" customFormat="false" ht="12.75" hidden="false" customHeight="false" outlineLevel="0" collapsed="false">
      <c r="A427" s="0"/>
      <c r="B427" s="0"/>
      <c r="C427" s="0"/>
      <c r="D427" s="0"/>
      <c r="E427" s="0"/>
      <c r="F427" s="0"/>
      <c r="G427" s="22"/>
      <c r="H427" s="22"/>
      <c r="I427" s="0"/>
    </row>
    <row r="428" customFormat="false" ht="12.75" hidden="false" customHeight="false" outlineLevel="0" collapsed="false">
      <c r="A428" s="18" t="n">
        <f aca="false">B428-0.25</f>
        <v>1</v>
      </c>
      <c r="B428" s="18" t="n">
        <v>1.25</v>
      </c>
      <c r="C428" s="18" t="n">
        <v>21.7</v>
      </c>
      <c r="D428" s="18" t="n">
        <v>-93</v>
      </c>
      <c r="E428" s="18" t="n">
        <v>35</v>
      </c>
      <c r="F428" s="18" t="n">
        <f aca="false">E428*0.5144</f>
        <v>18.004</v>
      </c>
      <c r="G428" s="22"/>
      <c r="H428" s="22"/>
      <c r="I428" s="18" t="n">
        <v>0</v>
      </c>
    </row>
    <row r="429" customFormat="false" ht="12.75" hidden="false" customHeight="false" outlineLevel="0" collapsed="false">
      <c r="A429" s="18" t="n">
        <f aca="false">B429-0.25</f>
        <v>1.25</v>
      </c>
      <c r="B429" s="18" t="n">
        <f aca="false">B428+0.25</f>
        <v>1.5</v>
      </c>
      <c r="C429" s="18" t="n">
        <v>22</v>
      </c>
      <c r="D429" s="18" t="n">
        <v>-93.2</v>
      </c>
      <c r="E429" s="18" t="n">
        <v>45</v>
      </c>
      <c r="F429" s="18" t="n">
        <f aca="false">E429*0.5144</f>
        <v>23.148</v>
      </c>
      <c r="G429" s="22" t="e">
        <f aca="false">arclethnm(C428,D428,C429,D429)/6</f>
        <v>#NAME?</v>
      </c>
      <c r="H429" s="22" t="e">
        <f aca="false">G429*0.5144</f>
        <v>#NAME?</v>
      </c>
      <c r="I429" s="18" t="n">
        <v>0</v>
      </c>
    </row>
    <row r="430" customFormat="false" ht="12.75" hidden="false" customHeight="false" outlineLevel="0" collapsed="false">
      <c r="A430" s="18" t="n">
        <f aca="false">B430-0.25</f>
        <v>1.5</v>
      </c>
      <c r="B430" s="18" t="n">
        <f aca="false">B429+0.25</f>
        <v>1.75</v>
      </c>
      <c r="C430" s="18" t="n">
        <v>22.4</v>
      </c>
      <c r="D430" s="18" t="n">
        <v>-93.5</v>
      </c>
      <c r="E430" s="18" t="n">
        <v>55</v>
      </c>
      <c r="F430" s="18" t="n">
        <f aca="false">E430*0.5144</f>
        <v>28.292</v>
      </c>
      <c r="G430" s="22" t="e">
        <f aca="false">arclethnm(C429,D429,C430,D430)/6</f>
        <v>#NAME?</v>
      </c>
      <c r="H430" s="22" t="e">
        <f aca="false">G430*0.5144</f>
        <v>#NAME?</v>
      </c>
      <c r="I430" s="18" t="n">
        <v>0</v>
      </c>
    </row>
    <row r="431" customFormat="false" ht="12.75" hidden="false" customHeight="false" outlineLevel="0" collapsed="false">
      <c r="A431" s="18" t="n">
        <f aca="false">B431-0.25</f>
        <v>1.75</v>
      </c>
      <c r="B431" s="18" t="n">
        <f aca="false">B430+0.25</f>
        <v>2</v>
      </c>
      <c r="C431" s="18" t="n">
        <v>22.9</v>
      </c>
      <c r="D431" s="18" t="n">
        <v>-93.9</v>
      </c>
      <c r="E431" s="18" t="n">
        <v>65</v>
      </c>
      <c r="F431" s="18" t="n">
        <f aca="false">E431*0.5144</f>
        <v>33.436</v>
      </c>
      <c r="G431" s="22" t="e">
        <f aca="false">arclethnm(C430,D430,C431,D431)/6</f>
        <v>#NAME?</v>
      </c>
      <c r="H431" s="22" t="e">
        <f aca="false">G431*0.5144</f>
        <v>#NAME?</v>
      </c>
      <c r="I431" s="18" t="n">
        <v>0</v>
      </c>
    </row>
    <row r="432" customFormat="false" ht="12.75" hidden="false" customHeight="false" outlineLevel="0" collapsed="false">
      <c r="A432" s="18" t="n">
        <f aca="false">B432-0.25</f>
        <v>2</v>
      </c>
      <c r="B432" s="18" t="n">
        <f aca="false">B431+0.25</f>
        <v>2.25</v>
      </c>
      <c r="C432" s="18" t="n">
        <v>23.4</v>
      </c>
      <c r="D432" s="18" t="n">
        <v>-94.2</v>
      </c>
      <c r="E432" s="18" t="n">
        <v>75</v>
      </c>
      <c r="F432" s="18" t="n">
        <f aca="false">E432*0.5144</f>
        <v>38.58</v>
      </c>
      <c r="G432" s="22" t="e">
        <f aca="false">arclethnm(C431,D431,C432,D432)/6</f>
        <v>#NAME?</v>
      </c>
      <c r="H432" s="22" t="e">
        <f aca="false">G432*0.5144</f>
        <v>#NAME?</v>
      </c>
      <c r="I432" s="18" t="n">
        <v>0</v>
      </c>
    </row>
    <row r="433" customFormat="false" ht="12.75" hidden="false" customHeight="false" outlineLevel="0" collapsed="false">
      <c r="A433" s="18" t="n">
        <f aca="false">B433-0.25</f>
        <v>2.25</v>
      </c>
      <c r="B433" s="18" t="n">
        <f aca="false">B432+0.25</f>
        <v>2.5</v>
      </c>
      <c r="C433" s="18" t="n">
        <v>24</v>
      </c>
      <c r="D433" s="18" t="n">
        <v>-94.5</v>
      </c>
      <c r="E433" s="18" t="n">
        <v>80</v>
      </c>
      <c r="F433" s="18" t="n">
        <f aca="false">E433*0.5144</f>
        <v>41.152</v>
      </c>
      <c r="G433" s="22" t="e">
        <f aca="false">arclethnm(C432,D432,C433,D433)/6</f>
        <v>#NAME?</v>
      </c>
      <c r="H433" s="22" t="e">
        <f aca="false">G433*0.5144</f>
        <v>#NAME?</v>
      </c>
      <c r="I433" s="18" t="n">
        <v>0</v>
      </c>
    </row>
    <row r="434" customFormat="false" ht="12.75" hidden="false" customHeight="false" outlineLevel="0" collapsed="false">
      <c r="A434" s="18" t="n">
        <f aca="false">B434-0.25</f>
        <v>2.5</v>
      </c>
      <c r="B434" s="18" t="n">
        <f aca="false">B433+0.25</f>
        <v>2.75</v>
      </c>
      <c r="C434" s="18" t="n">
        <v>24.7</v>
      </c>
      <c r="D434" s="18" t="n">
        <v>-94.8</v>
      </c>
      <c r="E434" s="18" t="n">
        <v>80</v>
      </c>
      <c r="F434" s="18" t="n">
        <f aca="false">E434*0.5144</f>
        <v>41.152</v>
      </c>
      <c r="G434" s="22" t="e">
        <f aca="false">arclethnm(C433,D433,C434,D434)/6</f>
        <v>#NAME?</v>
      </c>
      <c r="H434" s="22" t="e">
        <f aca="false">G434*0.5144</f>
        <v>#NAME?</v>
      </c>
      <c r="I434" s="18" t="n">
        <v>0</v>
      </c>
    </row>
    <row r="435" customFormat="false" ht="12.75" hidden="false" customHeight="false" outlineLevel="0" collapsed="false">
      <c r="A435" s="18" t="n">
        <f aca="false">B435-0.25</f>
        <v>2.75</v>
      </c>
      <c r="B435" s="18" t="n">
        <f aca="false">B434+0.25</f>
        <v>3</v>
      </c>
      <c r="C435" s="18" t="n">
        <v>25.4</v>
      </c>
      <c r="D435" s="18" t="n">
        <v>-95.1</v>
      </c>
      <c r="E435" s="18" t="n">
        <v>80</v>
      </c>
      <c r="F435" s="18" t="n">
        <f aca="false">E435*0.5144</f>
        <v>41.152</v>
      </c>
      <c r="G435" s="22" t="e">
        <f aca="false">arclethnm(C434,D434,C435,D435)/6</f>
        <v>#NAME?</v>
      </c>
      <c r="H435" s="22" t="e">
        <f aca="false">G435*0.5144</f>
        <v>#NAME?</v>
      </c>
      <c r="I435" s="18" t="n">
        <v>0</v>
      </c>
    </row>
    <row r="436" customFormat="false" ht="12.75" hidden="false" customHeight="false" outlineLevel="0" collapsed="false">
      <c r="A436" s="18" t="n">
        <f aca="false">B436-0.25</f>
        <v>3</v>
      </c>
      <c r="B436" s="18" t="n">
        <f aca="false">B435+0.25</f>
        <v>3.25</v>
      </c>
      <c r="C436" s="18" t="n">
        <v>26.2</v>
      </c>
      <c r="D436" s="18" t="n">
        <v>-95.4</v>
      </c>
      <c r="E436" s="18" t="n">
        <v>80</v>
      </c>
      <c r="F436" s="18" t="n">
        <f aca="false">E436*0.5144</f>
        <v>41.152</v>
      </c>
      <c r="G436" s="22" t="e">
        <f aca="false">arclethnm(C435,D435,C436,D436)/6</f>
        <v>#NAME?</v>
      </c>
      <c r="H436" s="22" t="e">
        <f aca="false">G436*0.5144</f>
        <v>#NAME?</v>
      </c>
      <c r="I436" s="18" t="n">
        <v>0</v>
      </c>
    </row>
    <row r="437" customFormat="false" ht="12.75" hidden="false" customHeight="false" outlineLevel="0" collapsed="false">
      <c r="A437" s="18" t="n">
        <f aca="false">B437-0.25</f>
        <v>3.25</v>
      </c>
      <c r="B437" s="18" t="n">
        <f aca="false">B436+0.25</f>
        <v>3.5</v>
      </c>
      <c r="C437" s="18" t="n">
        <v>27.1</v>
      </c>
      <c r="D437" s="18" t="n">
        <v>-95.6</v>
      </c>
      <c r="E437" s="18" t="n">
        <v>80</v>
      </c>
      <c r="F437" s="18" t="n">
        <f aca="false">E437*0.5144</f>
        <v>41.152</v>
      </c>
      <c r="G437" s="22" t="e">
        <f aca="false">arclethnm(C436,D436,C437,D437)/6</f>
        <v>#NAME?</v>
      </c>
      <c r="H437" s="22" t="e">
        <f aca="false">G437*0.5144</f>
        <v>#NAME?</v>
      </c>
      <c r="I437" s="18" t="n">
        <v>0</v>
      </c>
    </row>
    <row r="438" customFormat="false" ht="12.75" hidden="false" customHeight="false" outlineLevel="0" collapsed="false">
      <c r="A438" s="18" t="n">
        <f aca="false">B438-0.25</f>
        <v>3.5</v>
      </c>
      <c r="B438" s="18" t="n">
        <f aca="false">B437+0.25</f>
        <v>3.75</v>
      </c>
      <c r="C438" s="18" t="n">
        <v>28.1</v>
      </c>
      <c r="D438" s="18" t="n">
        <v>-95.6</v>
      </c>
      <c r="E438" s="18" t="n">
        <v>80</v>
      </c>
      <c r="F438" s="18" t="n">
        <f aca="false">E438*0.5144</f>
        <v>41.152</v>
      </c>
      <c r="G438" s="22" t="e">
        <f aca="false">arclethnm(C437,D437,C438,D438)/6</f>
        <v>#NAME?</v>
      </c>
      <c r="H438" s="22" t="e">
        <f aca="false">G438*0.5144</f>
        <v>#NAME?</v>
      </c>
      <c r="I438" s="18" t="n">
        <v>0</v>
      </c>
    </row>
    <row r="439" customFormat="false" ht="12.75" hidden="false" customHeight="false" outlineLevel="0" collapsed="false">
      <c r="A439" s="18" t="n">
        <f aca="false">B439-0.25</f>
        <v>3.75</v>
      </c>
      <c r="B439" s="18" t="n">
        <f aca="false">B438+0.25</f>
        <v>4</v>
      </c>
      <c r="C439" s="18" t="n">
        <v>28.8</v>
      </c>
      <c r="D439" s="18" t="n">
        <v>-95.5</v>
      </c>
      <c r="E439" s="18" t="n">
        <v>80</v>
      </c>
      <c r="F439" s="18" t="n">
        <f aca="false">E439*0.5144</f>
        <v>41.152</v>
      </c>
      <c r="G439" s="22" t="e">
        <f aca="false">arclethnm(C438,D438,C439,D439)/6</f>
        <v>#NAME?</v>
      </c>
      <c r="H439" s="22" t="e">
        <f aca="false">G439*0.5144</f>
        <v>#NAME?</v>
      </c>
      <c r="I439" s="18" t="n">
        <v>0</v>
      </c>
    </row>
    <row r="440" customFormat="false" ht="12.75" hidden="false" customHeight="false" outlineLevel="0" collapsed="false">
      <c r="A440" s="18" t="n">
        <f aca="false">B440-0.25</f>
        <v>4</v>
      </c>
      <c r="B440" s="18" t="n">
        <f aca="false">B439+0.25</f>
        <v>4.25</v>
      </c>
      <c r="C440" s="18" t="n">
        <v>29.2</v>
      </c>
      <c r="D440" s="18" t="n">
        <v>-95.4</v>
      </c>
      <c r="E440" s="18" t="n">
        <v>70</v>
      </c>
      <c r="F440" s="18" t="n">
        <f aca="false">E440*0.5144</f>
        <v>36.008</v>
      </c>
      <c r="G440" s="22" t="e">
        <f aca="false">arclethnm(C439,D439,C440,D440)/6</f>
        <v>#NAME?</v>
      </c>
      <c r="H440" s="22" t="e">
        <f aca="false">G440*0.5144</f>
        <v>#NAME?</v>
      </c>
      <c r="I440" s="18" t="n">
        <v>0</v>
      </c>
    </row>
    <row r="441" customFormat="false" ht="12.75" hidden="false" customHeight="false" outlineLevel="0" collapsed="false">
      <c r="A441" s="18" t="n">
        <f aca="false">B441-0.25</f>
        <v>4.25</v>
      </c>
      <c r="B441" s="18" t="n">
        <f aca="false">B440+0.25</f>
        <v>4.5</v>
      </c>
      <c r="C441" s="18" t="n">
        <v>30.3</v>
      </c>
      <c r="D441" s="18" t="n">
        <v>-95.1</v>
      </c>
      <c r="E441" s="18" t="n">
        <v>60</v>
      </c>
      <c r="F441" s="18" t="n">
        <f aca="false">E441*0.5144</f>
        <v>30.864</v>
      </c>
      <c r="G441" s="22" t="e">
        <f aca="false">arclethnm(C440,D440,C441,D441)/6</f>
        <v>#NAME?</v>
      </c>
      <c r="H441" s="22" t="e">
        <f aca="false">G441*0.5144</f>
        <v>#NAME?</v>
      </c>
      <c r="I441" s="18" t="n">
        <v>0</v>
      </c>
    </row>
    <row r="442" customFormat="false" ht="12.75" hidden="false" customHeight="false" outlineLevel="0" collapsed="false">
      <c r="A442" s="18" t="n">
        <f aca="false">B442-0.25</f>
        <v>4.5</v>
      </c>
      <c r="B442" s="18" t="n">
        <f aca="false">B441+0.25</f>
        <v>4.75</v>
      </c>
      <c r="C442" s="18" t="n">
        <v>31.2</v>
      </c>
      <c r="D442" s="18" t="n">
        <v>-94.7</v>
      </c>
      <c r="E442" s="18" t="n">
        <v>55</v>
      </c>
      <c r="F442" s="18" t="n">
        <f aca="false">E442*0.5144</f>
        <v>28.292</v>
      </c>
      <c r="G442" s="22" t="e">
        <f aca="false">arclethnm(C441,D441,C442,D442)/6</f>
        <v>#NAME?</v>
      </c>
      <c r="H442" s="22" t="e">
        <f aca="false">G442*0.5144</f>
        <v>#NAME?</v>
      </c>
      <c r="I442" s="18" t="n">
        <v>0</v>
      </c>
    </row>
    <row r="443" customFormat="false" ht="12.75" hidden="false" customHeight="false" outlineLevel="0" collapsed="false">
      <c r="A443" s="18" t="n">
        <f aca="false">B443-0.25</f>
        <v>4.75</v>
      </c>
      <c r="B443" s="18" t="n">
        <f aca="false">B442+0.25</f>
        <v>5</v>
      </c>
      <c r="C443" s="18" t="n">
        <v>31.9</v>
      </c>
      <c r="D443" s="18" t="n">
        <v>-94.3</v>
      </c>
      <c r="E443" s="18" t="n">
        <v>50</v>
      </c>
      <c r="F443" s="18" t="n">
        <f aca="false">E443*0.5144</f>
        <v>25.72</v>
      </c>
      <c r="G443" s="22" t="e">
        <f aca="false">arclethnm(C442,D442,C443,D443)/6</f>
        <v>#NAME?</v>
      </c>
      <c r="H443" s="22" t="e">
        <f aca="false">G443*0.5144</f>
        <v>#NAME?</v>
      </c>
      <c r="I443" s="18" t="n">
        <v>0</v>
      </c>
    </row>
    <row r="444" customFormat="false" ht="12.75" hidden="false" customHeight="false" outlineLevel="0" collapsed="false">
      <c r="A444" s="18" t="n">
        <f aca="false">B444-0.25</f>
        <v>5</v>
      </c>
      <c r="B444" s="18" t="n">
        <f aca="false">B443+0.25</f>
        <v>5.25</v>
      </c>
      <c r="C444" s="18" t="n">
        <v>32.5</v>
      </c>
      <c r="D444" s="18" t="n">
        <v>-93.8</v>
      </c>
      <c r="E444" s="18" t="n">
        <v>45</v>
      </c>
      <c r="F444" s="18" t="n">
        <f aca="false">E444*0.5144</f>
        <v>23.148</v>
      </c>
      <c r="G444" s="22" t="e">
        <f aca="false">arclethnm(C443,D443,C444,D444)/6</f>
        <v>#NAME?</v>
      </c>
      <c r="H444" s="22" t="e">
        <f aca="false">G444*0.5144</f>
        <v>#NAME?</v>
      </c>
      <c r="I444" s="18" t="n">
        <v>0</v>
      </c>
    </row>
    <row r="445" customFormat="false" ht="12.75" hidden="false" customHeight="false" outlineLevel="0" collapsed="false">
      <c r="A445" s="18" t="n">
        <f aca="false">B445-0.25</f>
        <v>5.25</v>
      </c>
      <c r="B445" s="18" t="n">
        <f aca="false">B444+0.25</f>
        <v>5.5</v>
      </c>
      <c r="C445" s="18" t="n">
        <v>33.1</v>
      </c>
      <c r="D445" s="18" t="n">
        <v>-93.1</v>
      </c>
      <c r="E445" s="18" t="n">
        <v>40</v>
      </c>
      <c r="F445" s="18" t="n">
        <f aca="false">E445*0.5144</f>
        <v>20.576</v>
      </c>
      <c r="G445" s="22" t="e">
        <f aca="false">arclethnm(C444,D444,C445,D445)/6</f>
        <v>#NAME?</v>
      </c>
      <c r="H445" s="22" t="e">
        <f aca="false">G445*0.5144</f>
        <v>#NAME?</v>
      </c>
      <c r="I445" s="18" t="n">
        <v>0</v>
      </c>
    </row>
    <row r="446" customFormat="false" ht="12.75" hidden="false" customHeight="false" outlineLevel="0" collapsed="false">
      <c r="A446" s="18" t="n">
        <f aca="false">B446-0.25</f>
        <v>5.5</v>
      </c>
      <c r="B446" s="18" t="n">
        <f aca="false">B445+0.25</f>
        <v>5.75</v>
      </c>
      <c r="C446" s="18" t="n">
        <v>33.7</v>
      </c>
      <c r="D446" s="18" t="n">
        <v>-92.3</v>
      </c>
      <c r="E446" s="18" t="n">
        <v>35</v>
      </c>
      <c r="F446" s="18" t="n">
        <f aca="false">E446*0.5144</f>
        <v>18.004</v>
      </c>
      <c r="G446" s="22" t="e">
        <f aca="false">arclethnm(C445,D445,C446,D446)/6</f>
        <v>#NAME?</v>
      </c>
      <c r="H446" s="22" t="e">
        <f aca="false">G446*0.5144</f>
        <v>#NAME?</v>
      </c>
      <c r="I446" s="18" t="n">
        <v>0</v>
      </c>
    </row>
    <row r="447" customFormat="false" ht="12.75" hidden="false" customHeight="false" outlineLevel="0" collapsed="false">
      <c r="A447" s="18" t="n">
        <f aca="false">B447-0.25</f>
        <v>5.75</v>
      </c>
      <c r="B447" s="18" t="n">
        <f aca="false">B446+0.25</f>
        <v>6</v>
      </c>
      <c r="C447" s="18" t="n">
        <v>34.2</v>
      </c>
      <c r="D447" s="18" t="n">
        <v>-91.1</v>
      </c>
      <c r="E447" s="18" t="n">
        <v>30</v>
      </c>
      <c r="F447" s="18" t="n">
        <f aca="false">E447*0.5144</f>
        <v>15.432</v>
      </c>
      <c r="G447" s="22" t="e">
        <f aca="false">arclethnm(C446,D446,C447,D447)/6</f>
        <v>#NAME?</v>
      </c>
      <c r="H447" s="22" t="e">
        <f aca="false">G447*0.5144</f>
        <v>#NAME?</v>
      </c>
      <c r="I447" s="18" t="n">
        <v>0</v>
      </c>
    </row>
    <row r="448" customFormat="false" ht="12.75" hidden="false" customHeight="false" outlineLevel="0" collapsed="false">
      <c r="A448" s="18" t="n">
        <f aca="false">B448-0.25</f>
        <v>6</v>
      </c>
      <c r="B448" s="18" t="n">
        <f aca="false">B447+0.25</f>
        <v>6.25</v>
      </c>
      <c r="C448" s="18" t="n">
        <v>34.6</v>
      </c>
      <c r="D448" s="18" t="n">
        <v>-89.7</v>
      </c>
      <c r="E448" s="18" t="n">
        <v>25</v>
      </c>
      <c r="F448" s="18" t="n">
        <f aca="false">E448*0.5144</f>
        <v>12.86</v>
      </c>
      <c r="G448" s="22" t="e">
        <f aca="false">arclethnm(C447,D447,C448,D448)/6</f>
        <v>#NAME?</v>
      </c>
      <c r="H448" s="22" t="e">
        <f aca="false">G448*0.5144</f>
        <v>#NAME?</v>
      </c>
      <c r="I448" s="18" t="n">
        <v>0</v>
      </c>
    </row>
    <row r="449" customFormat="false" ht="12.75" hidden="false" customHeight="false" outlineLevel="0" collapsed="false">
      <c r="A449" s="18" t="n">
        <f aca="false">B449-0.25</f>
        <v>6.25</v>
      </c>
      <c r="B449" s="18" t="n">
        <f aca="false">B448+0.25</f>
        <v>6.5</v>
      </c>
      <c r="C449" s="18" t="n">
        <v>35</v>
      </c>
      <c r="D449" s="18" t="n">
        <v>-88.1</v>
      </c>
      <c r="E449" s="18" t="n">
        <v>25</v>
      </c>
      <c r="F449" s="18" t="n">
        <f aca="false">E449*0.5144</f>
        <v>12.86</v>
      </c>
      <c r="G449" s="22" t="e">
        <f aca="false">arclethnm(C448,D448,C449,D449)/6</f>
        <v>#NAME?</v>
      </c>
      <c r="H449" s="22" t="e">
        <f aca="false">G449*0.5144</f>
        <v>#NAME?</v>
      </c>
      <c r="I449" s="18" t="n">
        <v>0</v>
      </c>
    </row>
    <row r="450" customFormat="false" ht="12.75" hidden="false" customHeight="false" outlineLevel="0" collapsed="false">
      <c r="A450" s="0"/>
      <c r="B450" s="0"/>
      <c r="C450" s="0"/>
      <c r="D450" s="0"/>
      <c r="E450" s="0"/>
      <c r="F450" s="0"/>
      <c r="G450" s="22"/>
      <c r="H450" s="22"/>
      <c r="I450" s="0"/>
    </row>
    <row r="451" customFormat="false" ht="12.75" hidden="false" customHeight="false" outlineLevel="0" collapsed="false">
      <c r="A451" s="0"/>
      <c r="B451" s="0"/>
      <c r="C451" s="0"/>
      <c r="D451" s="0"/>
      <c r="E451" s="0"/>
      <c r="F451" s="0"/>
      <c r="G451" s="22"/>
      <c r="H451" s="22"/>
      <c r="I451" s="0"/>
    </row>
    <row r="452" customFormat="false" ht="12.75" hidden="false" customHeight="false" outlineLevel="0" collapsed="false">
      <c r="A452" s="0"/>
      <c r="B452" s="20" t="n">
        <v>1897</v>
      </c>
      <c r="C452" s="20" t="s">
        <v>18</v>
      </c>
      <c r="D452" s="20" t="s">
        <v>80</v>
      </c>
      <c r="E452" s="0"/>
      <c r="F452" s="0"/>
      <c r="G452" s="22"/>
      <c r="H452" s="22"/>
      <c r="I452" s="0"/>
    </row>
    <row r="453" customFormat="false" ht="12.75" hidden="false" customHeight="false" outlineLevel="0" collapsed="false">
      <c r="A453" s="0"/>
      <c r="B453" s="0"/>
      <c r="C453" s="0"/>
      <c r="D453" s="0"/>
      <c r="E453" s="0"/>
      <c r="F453" s="0"/>
      <c r="G453" s="22"/>
      <c r="H453" s="22"/>
      <c r="I453" s="0"/>
    </row>
    <row r="454" customFormat="false" ht="12.75" hidden="false" customHeight="false" outlineLevel="0" collapsed="false">
      <c r="A454" s="18" t="n">
        <f aca="false">B454-0.25</f>
        <v>1</v>
      </c>
      <c r="B454" s="18" t="n">
        <v>1.25</v>
      </c>
      <c r="C454" s="18" t="n">
        <v>23.7</v>
      </c>
      <c r="D454" s="18" t="n">
        <v>-80</v>
      </c>
      <c r="E454" s="18" t="n">
        <v>50</v>
      </c>
      <c r="F454" s="18" t="n">
        <f aca="false">E454*0.5144</f>
        <v>25.72</v>
      </c>
      <c r="G454" s="22"/>
      <c r="H454" s="22"/>
      <c r="I454" s="18" t="n">
        <v>0</v>
      </c>
    </row>
    <row r="455" customFormat="false" ht="12.75" hidden="false" customHeight="false" outlineLevel="0" collapsed="false">
      <c r="A455" s="18" t="n">
        <f aca="false">B455-0.25</f>
        <v>1.25</v>
      </c>
      <c r="B455" s="18" t="n">
        <f aca="false">B454+0.25</f>
        <v>1.5</v>
      </c>
      <c r="C455" s="18" t="n">
        <v>24</v>
      </c>
      <c r="D455" s="18" t="n">
        <v>-81</v>
      </c>
      <c r="E455" s="18" t="n">
        <v>55</v>
      </c>
      <c r="F455" s="18" t="n">
        <f aca="false">E455*0.5144</f>
        <v>28.292</v>
      </c>
      <c r="G455" s="22" t="e">
        <f aca="false">arclethnm(C454,D454,C455,D455)/6</f>
        <v>#NAME?</v>
      </c>
      <c r="H455" s="22" t="e">
        <f aca="false">G455*0.5144</f>
        <v>#NAME?</v>
      </c>
      <c r="I455" s="18" t="n">
        <v>0</v>
      </c>
    </row>
    <row r="456" customFormat="false" ht="12.75" hidden="false" customHeight="false" outlineLevel="0" collapsed="false">
      <c r="A456" s="18" t="n">
        <f aca="false">B456-0.25</f>
        <v>1.5</v>
      </c>
      <c r="B456" s="18" t="n">
        <f aca="false">B455+0.25</f>
        <v>1.75</v>
      </c>
      <c r="C456" s="18" t="n">
        <v>24.4</v>
      </c>
      <c r="D456" s="18" t="n">
        <v>-81.9</v>
      </c>
      <c r="E456" s="18" t="n">
        <v>60</v>
      </c>
      <c r="F456" s="18" t="n">
        <f aca="false">E456*0.5144</f>
        <v>30.864</v>
      </c>
      <c r="G456" s="22" t="e">
        <f aca="false">arclethnm(C455,D455,C456,D456)/6</f>
        <v>#NAME?</v>
      </c>
      <c r="H456" s="22" t="e">
        <f aca="false">G456*0.5144</f>
        <v>#NAME?</v>
      </c>
      <c r="I456" s="18" t="n">
        <v>0</v>
      </c>
    </row>
    <row r="457" customFormat="false" ht="12.75" hidden="false" customHeight="false" outlineLevel="0" collapsed="false">
      <c r="A457" s="18" t="n">
        <f aca="false">B457-0.25</f>
        <v>1.75</v>
      </c>
      <c r="B457" s="18" t="n">
        <f aca="false">B456+0.25</f>
        <v>2</v>
      </c>
      <c r="C457" s="18" t="n">
        <v>24.8</v>
      </c>
      <c r="D457" s="18" t="n">
        <v>-82.9</v>
      </c>
      <c r="E457" s="18" t="n">
        <v>65</v>
      </c>
      <c r="F457" s="18" t="n">
        <f aca="false">E457*0.5144</f>
        <v>33.436</v>
      </c>
      <c r="G457" s="22" t="e">
        <f aca="false">arclethnm(C456,D456,C457,D457)/6</f>
        <v>#NAME?</v>
      </c>
      <c r="H457" s="22" t="e">
        <f aca="false">G457*0.5144</f>
        <v>#NAME?</v>
      </c>
      <c r="I457" s="18" t="n">
        <v>0</v>
      </c>
    </row>
    <row r="458" customFormat="false" ht="12.75" hidden="false" customHeight="false" outlineLevel="0" collapsed="false">
      <c r="A458" s="18" t="n">
        <f aca="false">B458-0.25</f>
        <v>2</v>
      </c>
      <c r="B458" s="18" t="n">
        <f aca="false">B457+0.25</f>
        <v>2.25</v>
      </c>
      <c r="C458" s="18" t="n">
        <v>25.4</v>
      </c>
      <c r="D458" s="18" t="n">
        <v>-83.6</v>
      </c>
      <c r="E458" s="18" t="n">
        <v>75</v>
      </c>
      <c r="F458" s="18" t="n">
        <f aca="false">E458*0.5144</f>
        <v>38.58</v>
      </c>
      <c r="G458" s="22" t="e">
        <f aca="false">arclethnm(C457,D457,C458,D458)/6</f>
        <v>#NAME?</v>
      </c>
      <c r="H458" s="22" t="e">
        <f aca="false">G458*0.5144</f>
        <v>#NAME?</v>
      </c>
      <c r="I458" s="18" t="n">
        <v>0</v>
      </c>
    </row>
    <row r="459" customFormat="false" ht="12.75" hidden="false" customHeight="false" outlineLevel="0" collapsed="false">
      <c r="A459" s="18" t="n">
        <f aca="false">B459-0.25</f>
        <v>2.25</v>
      </c>
      <c r="B459" s="18" t="n">
        <f aca="false">B458+0.25</f>
        <v>2.5</v>
      </c>
      <c r="C459" s="18" t="n">
        <v>26</v>
      </c>
      <c r="D459" s="18" t="n">
        <v>-84.6</v>
      </c>
      <c r="E459" s="18" t="n">
        <v>75</v>
      </c>
      <c r="F459" s="18" t="n">
        <f aca="false">E459*0.5144</f>
        <v>38.58</v>
      </c>
      <c r="G459" s="22" t="e">
        <f aca="false">arclethnm(C458,D458,C459,D459)/6</f>
        <v>#NAME?</v>
      </c>
      <c r="H459" s="22" t="e">
        <f aca="false">G459*0.5144</f>
        <v>#NAME?</v>
      </c>
      <c r="I459" s="18" t="n">
        <v>0</v>
      </c>
    </row>
    <row r="460" customFormat="false" ht="12.75" hidden="false" customHeight="false" outlineLevel="0" collapsed="false">
      <c r="A460" s="18" t="n">
        <f aca="false">B460-0.25</f>
        <v>2.5</v>
      </c>
      <c r="B460" s="18" t="n">
        <f aca="false">B459+0.25</f>
        <v>2.75</v>
      </c>
      <c r="C460" s="18" t="n">
        <v>26.6</v>
      </c>
      <c r="D460" s="18" t="n">
        <v>-85.6</v>
      </c>
      <c r="E460" s="18" t="n">
        <v>75</v>
      </c>
      <c r="F460" s="18" t="n">
        <f aca="false">E460*0.5144</f>
        <v>38.58</v>
      </c>
      <c r="G460" s="22" t="e">
        <f aca="false">arclethnm(C459,D459,C460,D460)/6</f>
        <v>#NAME?</v>
      </c>
      <c r="H460" s="22" t="e">
        <f aca="false">G460*0.5144</f>
        <v>#NAME?</v>
      </c>
      <c r="I460" s="18" t="n">
        <v>0</v>
      </c>
    </row>
    <row r="461" customFormat="false" ht="12.75" hidden="false" customHeight="false" outlineLevel="0" collapsed="false">
      <c r="A461" s="18" t="n">
        <f aca="false">B461-0.25</f>
        <v>2.75</v>
      </c>
      <c r="B461" s="18" t="n">
        <f aca="false">B460+0.25</f>
        <v>3</v>
      </c>
      <c r="C461" s="18" t="n">
        <v>27.2</v>
      </c>
      <c r="D461" s="18" t="n">
        <v>-86.8</v>
      </c>
      <c r="E461" s="18" t="n">
        <v>75</v>
      </c>
      <c r="F461" s="18" t="n">
        <f aca="false">E461*0.5144</f>
        <v>38.58</v>
      </c>
      <c r="G461" s="22" t="e">
        <f aca="false">arclethnm(C460,D460,C461,D461)/6</f>
        <v>#NAME?</v>
      </c>
      <c r="H461" s="22" t="e">
        <f aca="false">G461*0.5144</f>
        <v>#NAME?</v>
      </c>
      <c r="I461" s="18" t="n">
        <v>0</v>
      </c>
    </row>
    <row r="462" customFormat="false" ht="12.75" hidden="false" customHeight="false" outlineLevel="0" collapsed="false">
      <c r="A462" s="18" t="n">
        <f aca="false">B462-0.25</f>
        <v>3</v>
      </c>
      <c r="B462" s="18" t="n">
        <f aca="false">B461+0.25</f>
        <v>3.25</v>
      </c>
      <c r="C462" s="18" t="n">
        <v>27.8</v>
      </c>
      <c r="D462" s="18" t="n">
        <v>-87.9</v>
      </c>
      <c r="E462" s="18" t="n">
        <v>75</v>
      </c>
      <c r="F462" s="18" t="n">
        <f aca="false">E462*0.5144</f>
        <v>38.58</v>
      </c>
      <c r="G462" s="22" t="e">
        <f aca="false">arclethnm(C461,D461,C462,D462)/6</f>
        <v>#NAME?</v>
      </c>
      <c r="H462" s="22" t="e">
        <f aca="false">G462*0.5144</f>
        <v>#NAME?</v>
      </c>
      <c r="I462" s="18" t="n">
        <v>0</v>
      </c>
    </row>
    <row r="463" customFormat="false" ht="12.75" hidden="false" customHeight="false" outlineLevel="0" collapsed="false">
      <c r="A463" s="18" t="n">
        <f aca="false">B463-0.25</f>
        <v>3.25</v>
      </c>
      <c r="B463" s="18" t="n">
        <f aca="false">B462+0.25</f>
        <v>3.5</v>
      </c>
      <c r="C463" s="18" t="n">
        <v>28.3</v>
      </c>
      <c r="D463" s="18" t="n">
        <v>-89.2</v>
      </c>
      <c r="E463" s="18" t="n">
        <v>75</v>
      </c>
      <c r="F463" s="18" t="n">
        <f aca="false">E463*0.5144</f>
        <v>38.58</v>
      </c>
      <c r="G463" s="22" t="e">
        <f aca="false">arclethnm(C462,D462,C463,D463)/6</f>
        <v>#NAME?</v>
      </c>
      <c r="H463" s="22" t="e">
        <f aca="false">G463*0.5144</f>
        <v>#NAME?</v>
      </c>
      <c r="I463" s="18" t="n">
        <v>0</v>
      </c>
    </row>
    <row r="464" customFormat="false" ht="12.75" hidden="false" customHeight="false" outlineLevel="0" collapsed="false">
      <c r="A464" s="18" t="n">
        <f aca="false">B464-0.25</f>
        <v>3.5</v>
      </c>
      <c r="B464" s="18" t="n">
        <f aca="false">B463+0.25</f>
        <v>3.75</v>
      </c>
      <c r="C464" s="18" t="n">
        <v>28.8</v>
      </c>
      <c r="D464" s="18" t="n">
        <v>-90.5</v>
      </c>
      <c r="E464" s="18" t="n">
        <v>75</v>
      </c>
      <c r="F464" s="18" t="n">
        <f aca="false">E464*0.5144</f>
        <v>38.58</v>
      </c>
      <c r="G464" s="22" t="e">
        <f aca="false">arclethnm(C463,D463,C464,D464)/6</f>
        <v>#NAME?</v>
      </c>
      <c r="H464" s="22" t="e">
        <f aca="false">G464*0.5144</f>
        <v>#NAME?</v>
      </c>
      <c r="I464" s="18" t="n">
        <v>0</v>
      </c>
    </row>
    <row r="465" customFormat="false" ht="12.75" hidden="false" customHeight="false" outlineLevel="0" collapsed="false">
      <c r="A465" s="18" t="n">
        <f aca="false">B465-0.25</f>
        <v>3.75</v>
      </c>
      <c r="B465" s="18" t="n">
        <f aca="false">B464+0.25</f>
        <v>4</v>
      </c>
      <c r="C465" s="18" t="n">
        <v>29.3</v>
      </c>
      <c r="D465" s="18" t="n">
        <v>-92.2</v>
      </c>
      <c r="E465" s="18" t="n">
        <v>75</v>
      </c>
      <c r="F465" s="18" t="n">
        <f aca="false">E465*0.5144</f>
        <v>38.58</v>
      </c>
      <c r="G465" s="22" t="e">
        <f aca="false">arclethnm(C464,D464,C465,D465)/6</f>
        <v>#NAME?</v>
      </c>
      <c r="H465" s="22" t="e">
        <f aca="false">G465*0.5144</f>
        <v>#NAME?</v>
      </c>
      <c r="I465" s="18" t="n">
        <v>0</v>
      </c>
    </row>
    <row r="466" customFormat="false" ht="12.75" hidden="false" customHeight="false" outlineLevel="0" collapsed="false">
      <c r="A466" s="18" t="n">
        <f aca="false">B466-0.25</f>
        <v>4</v>
      </c>
      <c r="B466" s="18" t="n">
        <f aca="false">B465+0.25</f>
        <v>4.25</v>
      </c>
      <c r="C466" s="18" t="n">
        <v>29.7</v>
      </c>
      <c r="D466" s="18" t="n">
        <v>-93.8</v>
      </c>
      <c r="E466" s="18" t="n">
        <v>75</v>
      </c>
      <c r="F466" s="18" t="n">
        <f aca="false">E466*0.5144</f>
        <v>38.58</v>
      </c>
      <c r="G466" s="22" t="e">
        <f aca="false">arclethnm(C465,D465,C466,D466)/6</f>
        <v>#NAME?</v>
      </c>
      <c r="H466" s="22" t="e">
        <f aca="false">G466*0.5144</f>
        <v>#NAME?</v>
      </c>
      <c r="I466" s="18" t="n">
        <v>0</v>
      </c>
    </row>
    <row r="467" customFormat="false" ht="12.75" hidden="false" customHeight="false" outlineLevel="0" collapsed="false">
      <c r="A467" s="18" t="n">
        <f aca="false">B467-0.25</f>
        <v>4.25</v>
      </c>
      <c r="B467" s="18" t="n">
        <f aca="false">B466+0.25</f>
        <v>4.5</v>
      </c>
      <c r="C467" s="18" t="n">
        <v>29.8</v>
      </c>
      <c r="D467" s="18" t="n">
        <v>-94.1</v>
      </c>
      <c r="E467" s="18" t="n">
        <v>75</v>
      </c>
      <c r="F467" s="18" t="n">
        <f aca="false">E467*0.5144</f>
        <v>38.58</v>
      </c>
      <c r="G467" s="22" t="e">
        <f aca="false">arclethnm(C466,D466,C467,D467)/6</f>
        <v>#NAME?</v>
      </c>
      <c r="H467" s="22" t="e">
        <f aca="false">G467*0.5144</f>
        <v>#NAME?</v>
      </c>
      <c r="I467" s="18" t="n">
        <v>0</v>
      </c>
    </row>
    <row r="468" customFormat="false" ht="12.75" hidden="false" customHeight="false" outlineLevel="0" collapsed="false">
      <c r="A468" s="18" t="n">
        <f aca="false">B468-0.25</f>
        <v>4.5</v>
      </c>
      <c r="B468" s="18" t="n">
        <f aca="false">B467+0.25</f>
        <v>4.75</v>
      </c>
      <c r="C468" s="18" t="n">
        <v>30.3</v>
      </c>
      <c r="D468" s="18" t="n">
        <v>-95.7</v>
      </c>
      <c r="E468" s="18" t="n">
        <v>50</v>
      </c>
      <c r="F468" s="18" t="n">
        <f aca="false">E468*0.5144</f>
        <v>25.72</v>
      </c>
      <c r="G468" s="22" t="e">
        <f aca="false">arclethnm(C467,D467,C468,D468)/6</f>
        <v>#NAME?</v>
      </c>
      <c r="H468" s="22" t="e">
        <f aca="false">G468*0.5144</f>
        <v>#NAME?</v>
      </c>
      <c r="I468" s="18" t="n">
        <v>0</v>
      </c>
    </row>
    <row r="469" customFormat="false" ht="12.75" hidden="false" customHeight="false" outlineLevel="0" collapsed="false">
      <c r="A469" s="18" t="n">
        <f aca="false">B469-0.25</f>
        <v>4.75</v>
      </c>
      <c r="B469" s="18" t="n">
        <f aca="false">B468+0.25</f>
        <v>5</v>
      </c>
      <c r="C469" s="18" t="n">
        <v>31.2</v>
      </c>
      <c r="D469" s="18" t="n">
        <v>-97.5</v>
      </c>
      <c r="E469" s="18" t="n">
        <v>40</v>
      </c>
      <c r="F469" s="18" t="n">
        <f aca="false">E469*0.5144</f>
        <v>20.576</v>
      </c>
      <c r="G469" s="22" t="e">
        <f aca="false">arclethnm(C468,D468,C469,D469)/6</f>
        <v>#NAME?</v>
      </c>
      <c r="H469" s="22" t="e">
        <f aca="false">G469*0.5144</f>
        <v>#NAME?</v>
      </c>
      <c r="I469" s="18" t="n">
        <v>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33" colorId="64" zoomScale="110" zoomScaleNormal="110" zoomScalePageLayoutView="100" workbookViewId="0">
      <selection pane="topLeft" activeCell="A1" activeCellId="0" sqref="A1"/>
    </sheetView>
  </sheetViews>
  <sheetFormatPr defaultRowHeight="12.75"/>
  <cols>
    <col collapsed="false" hidden="false" max="1025" min="1" style="0" width="9.14285714285714"/>
  </cols>
  <sheetData/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59"/>
  <sheetViews>
    <sheetView windowProtection="false" showFormulas="false" showGridLines="true" showRowColHeaders="true" showZeros="true" rightToLeft="false" tabSelected="false" showOutlineSymbols="true" defaultGridColor="true" view="normal" topLeftCell="A310" colorId="64" zoomScale="110" zoomScaleNormal="110" zoomScalePageLayoutView="100" workbookViewId="0">
      <selection pane="topLeft" activeCell="J100" activeCellId="0" sqref="J100"/>
    </sheetView>
  </sheetViews>
  <sheetFormatPr defaultRowHeight="12.75"/>
  <cols>
    <col collapsed="false" hidden="false" max="1" min="1" style="18" width="9.14285714285714"/>
    <col collapsed="false" hidden="false" max="2" min="2" style="18" width="6.57142857142857"/>
    <col collapsed="false" hidden="false" max="4" min="3" style="18" width="10.9948979591837"/>
    <col collapsed="false" hidden="false" max="5" min="5" style="18" width="11.2857142857143"/>
    <col collapsed="false" hidden="false" max="6" min="6" style="18" width="10.9948979591837"/>
    <col collapsed="false" hidden="false" max="7" min="7" style="17" width="12.1377551020408"/>
    <col collapsed="false" hidden="false" max="8" min="8" style="18" width="11.9948979591837"/>
    <col collapsed="false" hidden="false" max="9" min="9" style="18" width="8.56632653061224"/>
    <col collapsed="false" hidden="false" max="11" min="10" style="18" width="9.14285714285714"/>
    <col collapsed="false" hidden="false" max="12" min="12" style="17" width="9.14285714285714"/>
    <col collapsed="false" hidden="false" max="1025" min="13" style="18" width="9.14285714285714"/>
  </cols>
  <sheetData>
    <row r="1" customFormat="false" ht="63.75" hidden="false" customHeight="false" outlineLevel="0" collapsed="false">
      <c r="A1" s="19" t="s">
        <v>127</v>
      </c>
      <c r="B1" s="20" t="s">
        <v>128</v>
      </c>
      <c r="C1" s="20" t="s">
        <v>136</v>
      </c>
      <c r="D1" s="20" t="s">
        <v>130</v>
      </c>
      <c r="E1" s="20" t="s">
        <v>15</v>
      </c>
      <c r="F1" s="21" t="s">
        <v>131</v>
      </c>
      <c r="G1" s="20" t="s">
        <v>132</v>
      </c>
      <c r="H1" s="20" t="s">
        <v>14</v>
      </c>
      <c r="I1" s="20" t="s">
        <v>9</v>
      </c>
      <c r="J1" s="20" t="s">
        <v>133</v>
      </c>
      <c r="K1" s="19" t="s">
        <v>134</v>
      </c>
      <c r="L1" s="14"/>
      <c r="M1" s="14"/>
    </row>
    <row r="2" customFormat="false" ht="12.75" hidden="false" customHeight="false" outlineLevel="0" collapsed="false">
      <c r="A2" s="19"/>
      <c r="B2" s="20"/>
      <c r="C2" s="20"/>
      <c r="D2" s="20"/>
      <c r="E2" s="20"/>
      <c r="F2" s="21"/>
      <c r="G2" s="20"/>
      <c r="H2" s="20"/>
      <c r="I2" s="20"/>
      <c r="J2" s="20"/>
      <c r="K2" s="19"/>
    </row>
    <row r="3" customFormat="false" ht="12.75" hidden="false" customHeight="false" outlineLevel="0" collapsed="false">
      <c r="A3" s="19"/>
      <c r="B3" s="20"/>
      <c r="C3" s="20"/>
      <c r="D3" s="20"/>
      <c r="E3" s="20"/>
      <c r="F3" s="21"/>
      <c r="G3" s="20"/>
      <c r="H3" s="20"/>
      <c r="I3" s="20"/>
      <c r="J3" s="20"/>
      <c r="K3" s="19"/>
    </row>
    <row r="4" customFormat="false" ht="12.75" hidden="false" customHeight="false" outlineLevel="0" collapsed="false">
      <c r="A4" s="0"/>
      <c r="B4" s="23" t="n">
        <v>1900</v>
      </c>
      <c r="C4" s="23" t="s">
        <v>18</v>
      </c>
      <c r="D4" s="0"/>
      <c r="E4" s="0"/>
      <c r="F4" s="0"/>
      <c r="G4" s="0"/>
      <c r="H4" s="0"/>
      <c r="I4" s="0"/>
    </row>
    <row r="5" customFormat="false" ht="12.75" hidden="false" customHeight="false" outlineLevel="0" collapsed="false">
      <c r="A5" s="0"/>
      <c r="B5" s="0"/>
      <c r="C5" s="0"/>
      <c r="D5" s="0"/>
      <c r="E5" s="0"/>
      <c r="F5" s="0"/>
      <c r="G5" s="0"/>
      <c r="H5" s="0"/>
      <c r="I5" s="0"/>
    </row>
    <row r="6" customFormat="false" ht="12.75" hidden="false" customHeight="false" outlineLevel="0" collapsed="false">
      <c r="A6" s="18" t="n">
        <v>1</v>
      </c>
      <c r="B6" s="18" t="n">
        <v>1</v>
      </c>
      <c r="C6" s="18" t="n">
        <v>15</v>
      </c>
      <c r="D6" s="18" t="n">
        <v>-42.1</v>
      </c>
      <c r="E6" s="18" t="n">
        <v>35</v>
      </c>
      <c r="F6" s="18" t="n">
        <f aca="false">E6*0.5144</f>
        <v>18.004</v>
      </c>
      <c r="G6" s="0"/>
      <c r="H6" s="0"/>
      <c r="I6" s="18" t="n">
        <v>0</v>
      </c>
    </row>
    <row r="7" customFormat="false" ht="12.75" hidden="false" customHeight="false" outlineLevel="0" collapsed="false">
      <c r="A7" s="18" t="n">
        <f aca="false">A6+0.25</f>
        <v>1.25</v>
      </c>
      <c r="B7" s="18" t="n">
        <f aca="false">B6+0.25</f>
        <v>1.25</v>
      </c>
      <c r="C7" s="18" t="n">
        <v>15.2</v>
      </c>
      <c r="D7" s="18" t="n">
        <v>-43.4</v>
      </c>
      <c r="E7" s="18" t="n">
        <v>35</v>
      </c>
      <c r="F7" s="18" t="n">
        <f aca="false">E7*0.5144</f>
        <v>18.004</v>
      </c>
      <c r="G7" s="22" t="e">
        <f aca="false">arclethnm(C6,D6,C7,D7)/6</f>
        <v>#NAME?</v>
      </c>
      <c r="H7" s="22" t="e">
        <f aca="false">G7*0.5144</f>
        <v>#NAME?</v>
      </c>
      <c r="I7" s="18" t="n">
        <v>0</v>
      </c>
    </row>
    <row r="8" customFormat="false" ht="12.75" hidden="false" customHeight="false" outlineLevel="0" collapsed="false">
      <c r="A8" s="18" t="n">
        <f aca="false">A7+0.25</f>
        <v>1.5</v>
      </c>
      <c r="B8" s="18" t="n">
        <f aca="false">B7+0.25</f>
        <v>1.5</v>
      </c>
      <c r="C8" s="18" t="n">
        <v>15.3</v>
      </c>
      <c r="D8" s="18" t="n">
        <v>-44.7</v>
      </c>
      <c r="E8" s="18" t="n">
        <v>35</v>
      </c>
      <c r="F8" s="18" t="n">
        <f aca="false">E8*0.5144</f>
        <v>18.004</v>
      </c>
      <c r="G8" s="22" t="e">
        <f aca="false">arclethnm(C7,D7,C8,D8)/6</f>
        <v>#NAME?</v>
      </c>
      <c r="H8" s="22" t="e">
        <f aca="false">G8*0.5144</f>
        <v>#NAME?</v>
      </c>
      <c r="I8" s="18" t="n">
        <v>0</v>
      </c>
    </row>
    <row r="9" customFormat="false" ht="12.75" hidden="false" customHeight="false" outlineLevel="0" collapsed="false">
      <c r="A9" s="18" t="n">
        <f aca="false">A8+0.25</f>
        <v>1.75</v>
      </c>
      <c r="B9" s="18" t="n">
        <f aca="false">B8+0.25</f>
        <v>1.75</v>
      </c>
      <c r="C9" s="18" t="n">
        <v>15.4</v>
      </c>
      <c r="D9" s="18" t="n">
        <v>-45.6</v>
      </c>
      <c r="E9" s="18" t="n">
        <v>35</v>
      </c>
      <c r="F9" s="18" t="n">
        <f aca="false">E9*0.5144</f>
        <v>18.004</v>
      </c>
      <c r="G9" s="22" t="e">
        <f aca="false">arclethnm(C8,D8,C9,D9)/6</f>
        <v>#NAME?</v>
      </c>
      <c r="H9" s="22" t="e">
        <f aca="false">G9*0.5144</f>
        <v>#NAME?</v>
      </c>
      <c r="I9" s="18" t="n">
        <v>0</v>
      </c>
    </row>
    <row r="10" customFormat="false" ht="12.75" hidden="false" customHeight="false" outlineLevel="0" collapsed="false">
      <c r="A10" s="18" t="n">
        <f aca="false">A9+0.25</f>
        <v>2</v>
      </c>
      <c r="B10" s="18" t="n">
        <f aca="false">B9+0.25</f>
        <v>2</v>
      </c>
      <c r="C10" s="18" t="n">
        <v>15.6</v>
      </c>
      <c r="D10" s="18" t="n">
        <v>-46.6</v>
      </c>
      <c r="E10" s="18" t="n">
        <v>35</v>
      </c>
      <c r="F10" s="18" t="n">
        <f aca="false">E10*0.5144</f>
        <v>18.004</v>
      </c>
      <c r="G10" s="22" t="e">
        <f aca="false">arclethnm(C9,D9,C10,D10)/6</f>
        <v>#NAME?</v>
      </c>
      <c r="H10" s="22" t="e">
        <f aca="false">G10*0.5144</f>
        <v>#NAME?</v>
      </c>
      <c r="I10" s="18" t="n">
        <v>0</v>
      </c>
    </row>
    <row r="11" customFormat="false" ht="12.75" hidden="false" customHeight="false" outlineLevel="0" collapsed="false">
      <c r="A11" s="18" t="n">
        <f aca="false">A10+0.25</f>
        <v>2.25</v>
      </c>
      <c r="B11" s="18" t="n">
        <f aca="false">B10+0.25</f>
        <v>2.25</v>
      </c>
      <c r="C11" s="18" t="n">
        <v>15.8</v>
      </c>
      <c r="D11" s="18" t="n">
        <v>-47.9</v>
      </c>
      <c r="E11" s="18" t="n">
        <v>35</v>
      </c>
      <c r="F11" s="18" t="n">
        <f aca="false">E11*0.5144</f>
        <v>18.004</v>
      </c>
      <c r="G11" s="22" t="e">
        <f aca="false">arclethnm(C10,D10,C11,D11)/6</f>
        <v>#NAME?</v>
      </c>
      <c r="H11" s="22" t="e">
        <f aca="false">G11*0.5144</f>
        <v>#NAME?</v>
      </c>
      <c r="I11" s="18" t="n">
        <v>0</v>
      </c>
    </row>
    <row r="12" customFormat="false" ht="12.75" hidden="false" customHeight="false" outlineLevel="0" collapsed="false">
      <c r="A12" s="18" t="n">
        <f aca="false">A11+0.25</f>
        <v>2.5</v>
      </c>
      <c r="B12" s="18" t="n">
        <f aca="false">B11+0.25</f>
        <v>2.5</v>
      </c>
      <c r="C12" s="18" t="n">
        <v>16</v>
      </c>
      <c r="D12" s="18" t="n">
        <v>-49.1</v>
      </c>
      <c r="E12" s="18" t="n">
        <v>35</v>
      </c>
      <c r="F12" s="18" t="n">
        <f aca="false">E12*0.5144</f>
        <v>18.004</v>
      </c>
      <c r="G12" s="22" t="e">
        <f aca="false">arclethnm(C11,D11,C12,D12)/6</f>
        <v>#NAME?</v>
      </c>
      <c r="H12" s="22" t="e">
        <f aca="false">G12*0.5144</f>
        <v>#NAME?</v>
      </c>
      <c r="I12" s="18" t="n">
        <v>0</v>
      </c>
    </row>
    <row r="13" customFormat="false" ht="12.75" hidden="false" customHeight="false" outlineLevel="0" collapsed="false">
      <c r="A13" s="18" t="n">
        <f aca="false">A12+0.25</f>
        <v>2.75</v>
      </c>
      <c r="B13" s="18" t="n">
        <f aca="false">B12+0.25</f>
        <v>2.75</v>
      </c>
      <c r="C13" s="18" t="n">
        <v>16.1</v>
      </c>
      <c r="D13" s="18" t="n">
        <v>-50.3</v>
      </c>
      <c r="E13" s="18" t="n">
        <v>35</v>
      </c>
      <c r="F13" s="18" t="n">
        <f aca="false">E13*0.5144</f>
        <v>18.004</v>
      </c>
      <c r="G13" s="22" t="e">
        <f aca="false">arclethnm(C12,D12,C13,D13)/6</f>
        <v>#NAME?</v>
      </c>
      <c r="H13" s="22" t="e">
        <f aca="false">G13*0.5144</f>
        <v>#NAME?</v>
      </c>
      <c r="I13" s="18" t="n">
        <v>0</v>
      </c>
    </row>
    <row r="14" customFormat="false" ht="12.75" hidden="false" customHeight="false" outlineLevel="0" collapsed="false">
      <c r="A14" s="18" t="n">
        <f aca="false">A13+0.25</f>
        <v>3</v>
      </c>
      <c r="B14" s="18" t="n">
        <f aca="false">B13+0.25</f>
        <v>3</v>
      </c>
      <c r="C14" s="18" t="n">
        <v>16.3</v>
      </c>
      <c r="D14" s="18" t="n">
        <v>-51.4</v>
      </c>
      <c r="E14" s="18" t="n">
        <v>35</v>
      </c>
      <c r="F14" s="18" t="n">
        <f aca="false">E14*0.5144</f>
        <v>18.004</v>
      </c>
      <c r="G14" s="22" t="e">
        <f aca="false">arclethnm(C13,D13,C14,D14)/6</f>
        <v>#NAME?</v>
      </c>
      <c r="H14" s="22" t="e">
        <f aca="false">G14*0.5144</f>
        <v>#NAME?</v>
      </c>
      <c r="I14" s="18" t="n">
        <v>0</v>
      </c>
    </row>
    <row r="15" customFormat="false" ht="12.75" hidden="false" customHeight="false" outlineLevel="0" collapsed="false">
      <c r="A15" s="18" t="n">
        <f aca="false">A14+0.25</f>
        <v>3.25</v>
      </c>
      <c r="B15" s="18" t="n">
        <f aca="false">B14+0.25</f>
        <v>3.25</v>
      </c>
      <c r="C15" s="18" t="n">
        <v>16.4</v>
      </c>
      <c r="D15" s="18" t="n">
        <v>-52.4</v>
      </c>
      <c r="E15" s="18" t="n">
        <v>35</v>
      </c>
      <c r="F15" s="18" t="n">
        <f aca="false">E15*0.5144</f>
        <v>18.004</v>
      </c>
      <c r="G15" s="22" t="e">
        <f aca="false">arclethnm(C14,D14,C15,D15)/6</f>
        <v>#NAME?</v>
      </c>
      <c r="H15" s="22" t="e">
        <f aca="false">G15*0.5144</f>
        <v>#NAME?</v>
      </c>
      <c r="I15" s="18" t="n">
        <v>0</v>
      </c>
    </row>
    <row r="16" customFormat="false" ht="12.75" hidden="false" customHeight="false" outlineLevel="0" collapsed="false">
      <c r="A16" s="18" t="n">
        <f aca="false">A15+0.25</f>
        <v>3.5</v>
      </c>
      <c r="B16" s="18" t="n">
        <f aca="false">B15+0.25</f>
        <v>3.5</v>
      </c>
      <c r="C16" s="18" t="n">
        <v>16.5</v>
      </c>
      <c r="D16" s="18" t="n">
        <v>-53.7</v>
      </c>
      <c r="E16" s="18" t="n">
        <v>40</v>
      </c>
      <c r="F16" s="18" t="n">
        <f aca="false">E16*0.5144</f>
        <v>20.576</v>
      </c>
      <c r="G16" s="22" t="e">
        <f aca="false">arclethnm(C15,D15,C16,D16)/6</f>
        <v>#NAME?</v>
      </c>
      <c r="H16" s="22" t="e">
        <f aca="false">G16*0.5144</f>
        <v>#NAME?</v>
      </c>
      <c r="I16" s="18" t="n">
        <v>0</v>
      </c>
    </row>
    <row r="17" customFormat="false" ht="12.75" hidden="false" customHeight="false" outlineLevel="0" collapsed="false">
      <c r="A17" s="18" t="n">
        <f aca="false">A16+0.25</f>
        <v>3.75</v>
      </c>
      <c r="B17" s="18" t="n">
        <f aca="false">B16+0.25</f>
        <v>3.75</v>
      </c>
      <c r="C17" s="18" t="n">
        <v>16.6</v>
      </c>
      <c r="D17" s="18" t="n">
        <v>-55.1</v>
      </c>
      <c r="E17" s="18" t="n">
        <v>40</v>
      </c>
      <c r="F17" s="18" t="n">
        <f aca="false">E17*0.5144</f>
        <v>20.576</v>
      </c>
      <c r="G17" s="22" t="e">
        <f aca="false">arclethnm(C16,D16,C17,D17)/6</f>
        <v>#NAME?</v>
      </c>
      <c r="H17" s="22" t="e">
        <f aca="false">G17*0.5144</f>
        <v>#NAME?</v>
      </c>
      <c r="I17" s="18" t="n">
        <v>0</v>
      </c>
    </row>
    <row r="18" customFormat="false" ht="12.75" hidden="false" customHeight="false" outlineLevel="0" collapsed="false">
      <c r="A18" s="18" t="n">
        <f aca="false">A17+0.25</f>
        <v>4</v>
      </c>
      <c r="B18" s="18" t="n">
        <f aca="false">B17+0.25</f>
        <v>4</v>
      </c>
      <c r="C18" s="18" t="n">
        <v>16.8</v>
      </c>
      <c r="D18" s="18" t="n">
        <v>-56.6</v>
      </c>
      <c r="E18" s="18" t="n">
        <v>40</v>
      </c>
      <c r="F18" s="18" t="n">
        <f aca="false">E18*0.5144</f>
        <v>20.576</v>
      </c>
      <c r="G18" s="22" t="e">
        <f aca="false">arclethnm(C17,D17,C18,D18)/6</f>
        <v>#NAME?</v>
      </c>
      <c r="H18" s="22" t="e">
        <f aca="false">G18*0.5144</f>
        <v>#NAME?</v>
      </c>
      <c r="I18" s="18" t="n">
        <v>0</v>
      </c>
    </row>
    <row r="19" customFormat="false" ht="12.75" hidden="false" customHeight="false" outlineLevel="0" collapsed="false">
      <c r="A19" s="18" t="n">
        <f aca="false">A18+0.25</f>
        <v>4.25</v>
      </c>
      <c r="B19" s="18" t="n">
        <f aca="false">B18+0.25</f>
        <v>4.25</v>
      </c>
      <c r="C19" s="18" t="n">
        <v>16.9</v>
      </c>
      <c r="D19" s="18" t="n">
        <v>-58</v>
      </c>
      <c r="E19" s="18" t="n">
        <v>40</v>
      </c>
      <c r="F19" s="18" t="n">
        <f aca="false">E19*0.5144</f>
        <v>20.576</v>
      </c>
      <c r="G19" s="22" t="e">
        <f aca="false">arclethnm(C18,D18,C19,D19)/6</f>
        <v>#NAME?</v>
      </c>
      <c r="H19" s="22" t="e">
        <f aca="false">G19*0.5144</f>
        <v>#NAME?</v>
      </c>
      <c r="I19" s="18" t="n">
        <v>0</v>
      </c>
    </row>
    <row r="20" customFormat="false" ht="12.75" hidden="false" customHeight="false" outlineLevel="0" collapsed="false">
      <c r="A20" s="18" t="n">
        <f aca="false">A19+0.25</f>
        <v>4.5</v>
      </c>
      <c r="B20" s="18" t="n">
        <f aca="false">B19+0.25</f>
        <v>4.5</v>
      </c>
      <c r="C20" s="18" t="n">
        <v>17</v>
      </c>
      <c r="D20" s="18" t="n">
        <v>-59.3</v>
      </c>
      <c r="E20" s="18" t="n">
        <v>45</v>
      </c>
      <c r="F20" s="18" t="n">
        <f aca="false">E20*0.5144</f>
        <v>23.148</v>
      </c>
      <c r="G20" s="22" t="e">
        <f aca="false">arclethnm(C19,D19,C20,D20)/6</f>
        <v>#NAME?</v>
      </c>
      <c r="H20" s="22" t="e">
        <f aca="false">G20*0.5144</f>
        <v>#NAME?</v>
      </c>
      <c r="I20" s="18" t="n">
        <v>0</v>
      </c>
    </row>
    <row r="21" customFormat="false" ht="12.75" hidden="false" customHeight="false" outlineLevel="0" collapsed="false">
      <c r="A21" s="18" t="n">
        <f aca="false">A20+0.25</f>
        <v>4.75</v>
      </c>
      <c r="B21" s="18" t="n">
        <f aca="false">B20+0.25</f>
        <v>4.75</v>
      </c>
      <c r="C21" s="18" t="n">
        <v>17</v>
      </c>
      <c r="D21" s="18" t="n">
        <v>-60.6</v>
      </c>
      <c r="E21" s="18" t="n">
        <v>45</v>
      </c>
      <c r="F21" s="18" t="n">
        <f aca="false">E21*0.5144</f>
        <v>23.148</v>
      </c>
      <c r="G21" s="22" t="e">
        <f aca="false">arclethnm(C20,D20,C21,D21)/6</f>
        <v>#NAME?</v>
      </c>
      <c r="H21" s="22" t="e">
        <f aca="false">G21*0.5144</f>
        <v>#NAME?</v>
      </c>
      <c r="I21" s="18" t="n">
        <v>0</v>
      </c>
    </row>
    <row r="22" customFormat="false" ht="12.75" hidden="false" customHeight="false" outlineLevel="0" collapsed="false">
      <c r="A22" s="18" t="n">
        <f aca="false">A21+0.25</f>
        <v>5</v>
      </c>
      <c r="B22" s="18" t="n">
        <f aca="false">B21+0.25</f>
        <v>5</v>
      </c>
      <c r="C22" s="18" t="n">
        <v>17.1</v>
      </c>
      <c r="D22" s="18" t="n">
        <v>-61.9</v>
      </c>
      <c r="E22" s="18" t="n">
        <v>45</v>
      </c>
      <c r="F22" s="18" t="n">
        <f aca="false">E22*0.5144</f>
        <v>23.148</v>
      </c>
      <c r="G22" s="22" t="e">
        <f aca="false">arclethnm(C21,D21,C22,D22)/6</f>
        <v>#NAME?</v>
      </c>
      <c r="H22" s="22" t="e">
        <f aca="false">G22*0.5144</f>
        <v>#NAME?</v>
      </c>
      <c r="I22" s="18" t="n">
        <v>0</v>
      </c>
    </row>
    <row r="23" customFormat="false" ht="12.75" hidden="false" customHeight="false" outlineLevel="0" collapsed="false">
      <c r="A23" s="18" t="n">
        <f aca="false">A22+0.25</f>
        <v>5.25</v>
      </c>
      <c r="B23" s="18" t="n">
        <f aca="false">B22+0.25</f>
        <v>5.25</v>
      </c>
      <c r="C23" s="18" t="n">
        <v>17.2</v>
      </c>
      <c r="D23" s="18" t="n">
        <v>-63.3</v>
      </c>
      <c r="E23" s="18" t="n">
        <v>45</v>
      </c>
      <c r="F23" s="18" t="n">
        <f aca="false">E23*0.5144</f>
        <v>23.148</v>
      </c>
      <c r="G23" s="22" t="e">
        <f aca="false">arclethnm(C22,D22,C23,D23)/6</f>
        <v>#NAME?</v>
      </c>
      <c r="H23" s="22" t="e">
        <f aca="false">G23*0.5144</f>
        <v>#NAME?</v>
      </c>
      <c r="I23" s="18" t="n">
        <v>0</v>
      </c>
    </row>
    <row r="24" customFormat="false" ht="12.75" hidden="false" customHeight="false" outlineLevel="0" collapsed="false">
      <c r="A24" s="18" t="n">
        <f aca="false">A23+0.25</f>
        <v>5.5</v>
      </c>
      <c r="B24" s="18" t="n">
        <f aca="false">B23+0.25</f>
        <v>5.5</v>
      </c>
      <c r="C24" s="18" t="n">
        <v>17.3</v>
      </c>
      <c r="D24" s="18" t="n">
        <v>-64.7</v>
      </c>
      <c r="E24" s="18" t="n">
        <v>45</v>
      </c>
      <c r="F24" s="18" t="n">
        <f aca="false">E24*0.5144</f>
        <v>23.148</v>
      </c>
      <c r="G24" s="22" t="e">
        <f aca="false">arclethnm(C23,D23,C24,D24)/6</f>
        <v>#NAME?</v>
      </c>
      <c r="H24" s="22" t="e">
        <f aca="false">G24*0.5144</f>
        <v>#NAME?</v>
      </c>
      <c r="I24" s="18" t="n">
        <v>0</v>
      </c>
    </row>
    <row r="25" customFormat="false" ht="12.75" hidden="false" customHeight="false" outlineLevel="0" collapsed="false">
      <c r="A25" s="18" t="n">
        <f aca="false">A24+0.25</f>
        <v>5.75</v>
      </c>
      <c r="B25" s="18" t="n">
        <f aca="false">B24+0.25</f>
        <v>5.75</v>
      </c>
      <c r="C25" s="18" t="n">
        <v>17.4</v>
      </c>
      <c r="D25" s="18" t="n">
        <v>-65.6</v>
      </c>
      <c r="E25" s="18" t="n">
        <v>45</v>
      </c>
      <c r="F25" s="18" t="n">
        <f aca="false">E25*0.5144</f>
        <v>23.148</v>
      </c>
      <c r="G25" s="22" t="e">
        <f aca="false">arclethnm(C24,D24,C25,D25)/6</f>
        <v>#NAME?</v>
      </c>
      <c r="H25" s="22" t="e">
        <f aca="false">G25*0.5144</f>
        <v>#NAME?</v>
      </c>
      <c r="I25" s="18" t="n">
        <v>0</v>
      </c>
    </row>
    <row r="26" customFormat="false" ht="12.75" hidden="false" customHeight="false" outlineLevel="0" collapsed="false">
      <c r="A26" s="18" t="n">
        <f aca="false">A25+0.25</f>
        <v>6</v>
      </c>
      <c r="B26" s="18" t="n">
        <f aca="false">B25+0.25</f>
        <v>6</v>
      </c>
      <c r="C26" s="18" t="n">
        <v>17.5</v>
      </c>
      <c r="D26" s="18" t="n">
        <v>-66.4</v>
      </c>
      <c r="E26" s="18" t="n">
        <v>45</v>
      </c>
      <c r="F26" s="18" t="n">
        <f aca="false">E26*0.5144</f>
        <v>23.148</v>
      </c>
      <c r="G26" s="22" t="e">
        <f aca="false">arclethnm(C25,D25,C26,D26)/6</f>
        <v>#NAME?</v>
      </c>
      <c r="H26" s="22" t="e">
        <f aca="false">G26*0.5144</f>
        <v>#NAME?</v>
      </c>
      <c r="I26" s="18" t="n">
        <v>0</v>
      </c>
    </row>
    <row r="27" customFormat="false" ht="12.75" hidden="false" customHeight="false" outlineLevel="0" collapsed="false">
      <c r="A27" s="18" t="n">
        <f aca="false">A26+0.25</f>
        <v>6.25</v>
      </c>
      <c r="B27" s="18" t="n">
        <f aca="false">B26+0.25</f>
        <v>6.25</v>
      </c>
      <c r="C27" s="18" t="n">
        <v>17.6</v>
      </c>
      <c r="D27" s="18" t="n">
        <v>-67.4</v>
      </c>
      <c r="E27" s="18" t="n">
        <v>45</v>
      </c>
      <c r="F27" s="18" t="n">
        <f aca="false">E27*0.5144</f>
        <v>23.148</v>
      </c>
      <c r="G27" s="22" t="e">
        <f aca="false">arclethnm(C26,D26,C27,D27)/6</f>
        <v>#NAME?</v>
      </c>
      <c r="H27" s="22" t="e">
        <f aca="false">G27*0.5144</f>
        <v>#NAME?</v>
      </c>
      <c r="I27" s="18" t="n">
        <v>0</v>
      </c>
    </row>
    <row r="28" customFormat="false" ht="12.75" hidden="false" customHeight="false" outlineLevel="0" collapsed="false">
      <c r="A28" s="18" t="n">
        <f aca="false">A27+0.25</f>
        <v>6.5</v>
      </c>
      <c r="B28" s="18" t="n">
        <f aca="false">B27+0.25</f>
        <v>6.5</v>
      </c>
      <c r="C28" s="18" t="n">
        <v>17.7</v>
      </c>
      <c r="D28" s="18" t="n">
        <v>-68.3</v>
      </c>
      <c r="E28" s="18" t="n">
        <v>45</v>
      </c>
      <c r="F28" s="18" t="n">
        <f aca="false">E28*0.5144</f>
        <v>23.148</v>
      </c>
      <c r="G28" s="22" t="e">
        <f aca="false">arclethnm(C27,D27,C28,D28)/6</f>
        <v>#NAME?</v>
      </c>
      <c r="H28" s="22" t="e">
        <f aca="false">G28*0.5144</f>
        <v>#NAME?</v>
      </c>
      <c r="I28" s="18" t="n">
        <v>0</v>
      </c>
    </row>
    <row r="29" customFormat="false" ht="12.75" hidden="false" customHeight="false" outlineLevel="0" collapsed="false">
      <c r="A29" s="18" t="n">
        <f aca="false">A28+0.25</f>
        <v>6.75</v>
      </c>
      <c r="B29" s="18" t="n">
        <f aca="false">B28+0.25</f>
        <v>6.75</v>
      </c>
      <c r="C29" s="18" t="n">
        <v>18</v>
      </c>
      <c r="D29" s="18" t="n">
        <v>-69.2</v>
      </c>
      <c r="E29" s="18" t="n">
        <v>40</v>
      </c>
      <c r="F29" s="18" t="n">
        <f aca="false">E29*0.5144</f>
        <v>20.576</v>
      </c>
      <c r="G29" s="22" t="e">
        <f aca="false">arclethnm(C28,D28,C29,D29)/6</f>
        <v>#NAME?</v>
      </c>
      <c r="H29" s="22" t="e">
        <f aca="false">G29*0.5144</f>
        <v>#NAME?</v>
      </c>
      <c r="I29" s="18" t="n">
        <v>0</v>
      </c>
    </row>
    <row r="30" customFormat="false" ht="12.75" hidden="false" customHeight="false" outlineLevel="0" collapsed="false">
      <c r="A30" s="18" t="n">
        <f aca="false">A29+0.25</f>
        <v>7</v>
      </c>
      <c r="B30" s="18" t="n">
        <f aca="false">B29+0.25</f>
        <v>7</v>
      </c>
      <c r="C30" s="18" t="n">
        <v>18.3</v>
      </c>
      <c r="D30" s="18" t="n">
        <v>-70.3</v>
      </c>
      <c r="E30" s="18" t="n">
        <v>40</v>
      </c>
      <c r="F30" s="18" t="n">
        <f aca="false">E30*0.5144</f>
        <v>20.576</v>
      </c>
      <c r="G30" s="22" t="e">
        <f aca="false">arclethnm(C29,D29,C30,D30)/6</f>
        <v>#NAME?</v>
      </c>
      <c r="H30" s="22" t="e">
        <f aca="false">G30*0.5144</f>
        <v>#NAME?</v>
      </c>
      <c r="I30" s="18" t="n">
        <v>0</v>
      </c>
    </row>
    <row r="31" customFormat="false" ht="12.75" hidden="false" customHeight="false" outlineLevel="0" collapsed="false">
      <c r="A31" s="18" t="n">
        <f aca="false">A30+0.25</f>
        <v>7.25</v>
      </c>
      <c r="B31" s="18" t="n">
        <f aca="false">B30+0.25</f>
        <v>7.25</v>
      </c>
      <c r="C31" s="18" t="n">
        <v>18.7</v>
      </c>
      <c r="D31" s="18" t="n">
        <v>-71.3</v>
      </c>
      <c r="E31" s="18" t="n">
        <v>35</v>
      </c>
      <c r="F31" s="18" t="n">
        <f aca="false">E31*0.5144</f>
        <v>18.004</v>
      </c>
      <c r="G31" s="22" t="e">
        <f aca="false">arclethnm(C30,D30,C31,D31)/6</f>
        <v>#NAME?</v>
      </c>
      <c r="H31" s="22" t="e">
        <f aca="false">G31*0.5144</f>
        <v>#NAME?</v>
      </c>
      <c r="I31" s="18" t="n">
        <v>0</v>
      </c>
    </row>
    <row r="32" customFormat="false" ht="12.75" hidden="false" customHeight="false" outlineLevel="0" collapsed="false">
      <c r="A32" s="18" t="n">
        <f aca="false">A31+0.25</f>
        <v>7.5</v>
      </c>
      <c r="B32" s="18" t="n">
        <f aca="false">B31+0.25</f>
        <v>7.5</v>
      </c>
      <c r="C32" s="18" t="n">
        <v>19</v>
      </c>
      <c r="D32" s="18" t="n">
        <v>-72.3</v>
      </c>
      <c r="E32" s="18" t="n">
        <v>35</v>
      </c>
      <c r="F32" s="18" t="n">
        <f aca="false">E32*0.5144</f>
        <v>18.004</v>
      </c>
      <c r="G32" s="22" t="e">
        <f aca="false">arclethnm(C31,D31,C32,D32)/6</f>
        <v>#NAME?</v>
      </c>
      <c r="H32" s="22" t="e">
        <f aca="false">G32*0.5144</f>
        <v>#NAME?</v>
      </c>
      <c r="I32" s="18" t="n">
        <v>0</v>
      </c>
    </row>
    <row r="33" customFormat="false" ht="12.75" hidden="false" customHeight="false" outlineLevel="0" collapsed="false">
      <c r="A33" s="18" t="n">
        <f aca="false">A32+0.25</f>
        <v>7.75</v>
      </c>
      <c r="B33" s="18" t="n">
        <f aca="false">B32+0.25</f>
        <v>7.75</v>
      </c>
      <c r="C33" s="18" t="n">
        <v>19.3</v>
      </c>
      <c r="D33" s="18" t="n">
        <v>-73.2</v>
      </c>
      <c r="E33" s="18" t="n">
        <v>35</v>
      </c>
      <c r="F33" s="18" t="n">
        <f aca="false">E33*0.5144</f>
        <v>18.004</v>
      </c>
      <c r="G33" s="22" t="e">
        <f aca="false">arclethnm(C32,D32,C33,D33)/6</f>
        <v>#NAME?</v>
      </c>
      <c r="H33" s="22" t="e">
        <f aca="false">G33*0.5144</f>
        <v>#NAME?</v>
      </c>
      <c r="I33" s="18" t="n">
        <v>0</v>
      </c>
    </row>
    <row r="34" customFormat="false" ht="12.75" hidden="false" customHeight="false" outlineLevel="0" collapsed="false">
      <c r="A34" s="18" t="n">
        <f aca="false">A33+0.25</f>
        <v>8</v>
      </c>
      <c r="B34" s="18" t="n">
        <f aca="false">B33+0.25</f>
        <v>8</v>
      </c>
      <c r="C34" s="18" t="n">
        <v>19.5</v>
      </c>
      <c r="D34" s="18" t="n">
        <v>-74.1</v>
      </c>
      <c r="E34" s="18" t="n">
        <v>35</v>
      </c>
      <c r="F34" s="18" t="n">
        <f aca="false">E34*0.5144</f>
        <v>18.004</v>
      </c>
      <c r="G34" s="22" t="e">
        <f aca="false">arclethnm(C33,D33,C34,D34)/6</f>
        <v>#NAME?</v>
      </c>
      <c r="H34" s="22" t="e">
        <f aca="false">G34*0.5144</f>
        <v>#NAME?</v>
      </c>
      <c r="I34" s="18" t="n">
        <v>0</v>
      </c>
    </row>
    <row r="35" customFormat="false" ht="12.75" hidden="false" customHeight="false" outlineLevel="0" collapsed="false">
      <c r="A35" s="18" t="n">
        <f aca="false">A34+0.25</f>
        <v>8.25</v>
      </c>
      <c r="B35" s="18" t="n">
        <f aca="false">B34+0.25</f>
        <v>8.25</v>
      </c>
      <c r="C35" s="18" t="n">
        <v>19.7</v>
      </c>
      <c r="D35" s="18" t="n">
        <v>-75</v>
      </c>
      <c r="E35" s="18" t="n">
        <v>35</v>
      </c>
      <c r="F35" s="18" t="n">
        <f aca="false">E35*0.5144</f>
        <v>18.004</v>
      </c>
      <c r="G35" s="22" t="e">
        <f aca="false">arclethnm(C34,D34,C35,D35)/6</f>
        <v>#NAME?</v>
      </c>
      <c r="H35" s="22" t="e">
        <f aca="false">G35*0.5144</f>
        <v>#NAME?</v>
      </c>
      <c r="I35" s="18" t="n">
        <v>0</v>
      </c>
    </row>
    <row r="36" customFormat="false" ht="12.75" hidden="false" customHeight="false" outlineLevel="0" collapsed="false">
      <c r="A36" s="18" t="n">
        <f aca="false">A35+0.25</f>
        <v>8.5</v>
      </c>
      <c r="B36" s="18" t="n">
        <f aca="false">B35+0.25</f>
        <v>8.5</v>
      </c>
      <c r="C36" s="18" t="n">
        <v>20</v>
      </c>
      <c r="D36" s="18" t="n">
        <v>-76</v>
      </c>
      <c r="E36" s="18" t="n">
        <v>35</v>
      </c>
      <c r="F36" s="18" t="n">
        <f aca="false">E36*0.5144</f>
        <v>18.004</v>
      </c>
      <c r="G36" s="22" t="e">
        <f aca="false">arclethnm(C35,D35,C36,D36)/6</f>
        <v>#NAME?</v>
      </c>
      <c r="H36" s="22" t="e">
        <f aca="false">G36*0.5144</f>
        <v>#NAME?</v>
      </c>
      <c r="I36" s="18" t="n">
        <v>0</v>
      </c>
    </row>
    <row r="37" customFormat="false" ht="12.75" hidden="false" customHeight="false" outlineLevel="0" collapsed="false">
      <c r="A37" s="18" t="n">
        <f aca="false">A36+0.25</f>
        <v>8.75</v>
      </c>
      <c r="B37" s="18" t="n">
        <f aca="false">B36+0.25</f>
        <v>8.75</v>
      </c>
      <c r="C37" s="18" t="n">
        <v>20.3</v>
      </c>
      <c r="D37" s="18" t="n">
        <v>-76.6</v>
      </c>
      <c r="E37" s="18" t="n">
        <v>35</v>
      </c>
      <c r="F37" s="18" t="n">
        <f aca="false">E37*0.5144</f>
        <v>18.004</v>
      </c>
      <c r="G37" s="22" t="e">
        <f aca="false">arclethnm(C36,D36,C37,D37)/6</f>
        <v>#NAME?</v>
      </c>
      <c r="H37" s="22" t="e">
        <f aca="false">G37*0.5144</f>
        <v>#NAME?</v>
      </c>
      <c r="I37" s="18" t="n">
        <v>0</v>
      </c>
    </row>
    <row r="38" customFormat="false" ht="12.75" hidden="false" customHeight="false" outlineLevel="0" collapsed="false">
      <c r="A38" s="18" t="n">
        <f aca="false">A37+0.25</f>
        <v>9</v>
      </c>
      <c r="B38" s="18" t="n">
        <f aca="false">B37+0.25</f>
        <v>9</v>
      </c>
      <c r="C38" s="18" t="n">
        <v>20.6</v>
      </c>
      <c r="D38" s="18" t="n">
        <v>-77.2</v>
      </c>
      <c r="E38" s="18" t="n">
        <v>35</v>
      </c>
      <c r="F38" s="18" t="n">
        <f aca="false">E38*0.5144</f>
        <v>18.004</v>
      </c>
      <c r="G38" s="22" t="e">
        <f aca="false">arclethnm(C37,D37,C38,D38)/6</f>
        <v>#NAME?</v>
      </c>
      <c r="H38" s="22" t="e">
        <f aca="false">G38*0.5144</f>
        <v>#NAME?</v>
      </c>
      <c r="I38" s="18" t="n">
        <v>0</v>
      </c>
    </row>
    <row r="39" customFormat="false" ht="12.75" hidden="false" customHeight="false" outlineLevel="0" collapsed="false">
      <c r="A39" s="18" t="n">
        <f aca="false">A38+0.25</f>
        <v>9.25</v>
      </c>
      <c r="B39" s="18" t="n">
        <f aca="false">B38+0.25</f>
        <v>9.25</v>
      </c>
      <c r="C39" s="18" t="n">
        <v>21</v>
      </c>
      <c r="D39" s="18" t="n">
        <v>-77.7</v>
      </c>
      <c r="E39" s="18" t="n">
        <v>35</v>
      </c>
      <c r="F39" s="18" t="n">
        <f aca="false">E39*0.5144</f>
        <v>18.004</v>
      </c>
      <c r="G39" s="22" t="e">
        <f aca="false">arclethnm(C38,D38,C39,D39)/6</f>
        <v>#NAME?</v>
      </c>
      <c r="H39" s="22" t="e">
        <f aca="false">G39*0.5144</f>
        <v>#NAME?</v>
      </c>
      <c r="I39" s="18" t="n">
        <v>0</v>
      </c>
    </row>
    <row r="40" customFormat="false" ht="12.75" hidden="false" customHeight="false" outlineLevel="0" collapsed="false">
      <c r="A40" s="18" t="n">
        <f aca="false">A39+0.25</f>
        <v>9.5</v>
      </c>
      <c r="B40" s="18" t="n">
        <f aca="false">B39+0.25</f>
        <v>9.5</v>
      </c>
      <c r="C40" s="18" t="n">
        <v>21.3</v>
      </c>
      <c r="D40" s="18" t="n">
        <v>-78.3</v>
      </c>
      <c r="E40" s="18" t="n">
        <v>35</v>
      </c>
      <c r="F40" s="18" t="n">
        <f aca="false">E40*0.5144</f>
        <v>18.004</v>
      </c>
      <c r="G40" s="22" t="e">
        <f aca="false">arclethnm(C39,D39,C40,D40)/6</f>
        <v>#NAME?</v>
      </c>
      <c r="H40" s="22" t="e">
        <f aca="false">G40*0.5144</f>
        <v>#NAME?</v>
      </c>
      <c r="I40" s="18" t="n">
        <v>0</v>
      </c>
    </row>
    <row r="41" customFormat="false" ht="12.75" hidden="false" customHeight="false" outlineLevel="0" collapsed="false">
      <c r="A41" s="18" t="n">
        <f aca="false">A40+0.25</f>
        <v>9.75</v>
      </c>
      <c r="B41" s="18" t="n">
        <f aca="false">B40+0.25</f>
        <v>9.75</v>
      </c>
      <c r="C41" s="18" t="n">
        <v>21.6</v>
      </c>
      <c r="D41" s="18" t="n">
        <v>-78.9</v>
      </c>
      <c r="E41" s="18" t="n">
        <v>35</v>
      </c>
      <c r="F41" s="18" t="n">
        <f aca="false">E41*0.5144</f>
        <v>18.004</v>
      </c>
      <c r="G41" s="22" t="e">
        <f aca="false">arclethnm(C40,D40,C41,D41)/6</f>
        <v>#NAME?</v>
      </c>
      <c r="H41" s="22" t="e">
        <f aca="false">G41*0.5144</f>
        <v>#NAME?</v>
      </c>
      <c r="I41" s="18" t="n">
        <v>0</v>
      </c>
    </row>
    <row r="42" customFormat="false" ht="12.75" hidden="false" customHeight="false" outlineLevel="0" collapsed="false">
      <c r="A42" s="18" t="n">
        <f aca="false">A41+0.25</f>
        <v>10</v>
      </c>
      <c r="B42" s="18" t="n">
        <f aca="false">B41+0.25</f>
        <v>10</v>
      </c>
      <c r="C42" s="18" t="n">
        <v>22</v>
      </c>
      <c r="D42" s="18" t="n">
        <v>-79.5</v>
      </c>
      <c r="E42" s="18" t="n">
        <v>35</v>
      </c>
      <c r="F42" s="18" t="n">
        <f aca="false">E42*0.5144</f>
        <v>18.004</v>
      </c>
      <c r="G42" s="22" t="e">
        <f aca="false">arclethnm(C41,D41,C42,D42)/6</f>
        <v>#NAME?</v>
      </c>
      <c r="H42" s="22" t="e">
        <f aca="false">G42*0.5144</f>
        <v>#NAME?</v>
      </c>
      <c r="I42" s="18" t="n">
        <v>0</v>
      </c>
    </row>
    <row r="43" customFormat="false" ht="12.75" hidden="false" customHeight="false" outlineLevel="0" collapsed="false">
      <c r="A43" s="18" t="n">
        <f aca="false">A42+0.25</f>
        <v>10.25</v>
      </c>
      <c r="B43" s="18" t="n">
        <f aca="false">B42+0.25</f>
        <v>10.25</v>
      </c>
      <c r="C43" s="18" t="n">
        <v>22.4</v>
      </c>
      <c r="D43" s="18" t="n">
        <v>-80.1</v>
      </c>
      <c r="E43" s="18" t="n">
        <v>35</v>
      </c>
      <c r="F43" s="18" t="n">
        <f aca="false">E43*0.5144</f>
        <v>18.004</v>
      </c>
      <c r="G43" s="22" t="e">
        <f aca="false">arclethnm(C42,D42,C43,D43)/6</f>
        <v>#NAME?</v>
      </c>
      <c r="H43" s="22" t="e">
        <f aca="false">G43*0.5144</f>
        <v>#NAME?</v>
      </c>
      <c r="I43" s="18" t="n">
        <v>0</v>
      </c>
    </row>
    <row r="44" customFormat="false" ht="12.75" hidden="false" customHeight="false" outlineLevel="0" collapsed="false">
      <c r="A44" s="18" t="n">
        <f aca="false">A43+0.25</f>
        <v>10.5</v>
      </c>
      <c r="B44" s="18" t="n">
        <f aca="false">B43+0.25</f>
        <v>10.5</v>
      </c>
      <c r="C44" s="18" t="n">
        <v>23</v>
      </c>
      <c r="D44" s="18" t="n">
        <v>-80.7</v>
      </c>
      <c r="E44" s="18" t="n">
        <v>45</v>
      </c>
      <c r="F44" s="18" t="n">
        <f aca="false">E44*0.5144</f>
        <v>23.148</v>
      </c>
      <c r="G44" s="22" t="e">
        <f aca="false">arclethnm(C43,D43,C44,D44)/6</f>
        <v>#NAME?</v>
      </c>
      <c r="H44" s="22" t="e">
        <f aca="false">G44*0.5144</f>
        <v>#NAME?</v>
      </c>
      <c r="I44" s="18" t="n">
        <v>0</v>
      </c>
    </row>
    <row r="45" customFormat="false" ht="12.75" hidden="false" customHeight="false" outlineLevel="0" collapsed="false">
      <c r="A45" s="18" t="n">
        <f aca="false">A44+0.25</f>
        <v>10.75</v>
      </c>
      <c r="B45" s="18" t="n">
        <f aca="false">B44+0.25</f>
        <v>10.75</v>
      </c>
      <c r="C45" s="18" t="n">
        <v>23.5</v>
      </c>
      <c r="D45" s="18" t="n">
        <v>-81.5</v>
      </c>
      <c r="E45" s="18" t="n">
        <v>55</v>
      </c>
      <c r="F45" s="18" t="n">
        <f aca="false">E45*0.5144</f>
        <v>28.292</v>
      </c>
      <c r="G45" s="22" t="e">
        <f aca="false">arclethnm(C44,D44,C45,D45)/6</f>
        <v>#NAME?</v>
      </c>
      <c r="H45" s="22" t="e">
        <f aca="false">G45*0.5144</f>
        <v>#NAME?</v>
      </c>
      <c r="I45" s="18" t="n">
        <v>0</v>
      </c>
    </row>
    <row r="46" customFormat="false" ht="12.75" hidden="false" customHeight="false" outlineLevel="0" collapsed="false">
      <c r="A46" s="18" t="n">
        <f aca="false">A45+0.25</f>
        <v>11</v>
      </c>
      <c r="B46" s="18" t="n">
        <f aca="false">B45+0.25</f>
        <v>11</v>
      </c>
      <c r="C46" s="18" t="n">
        <v>24.1</v>
      </c>
      <c r="D46" s="18" t="n">
        <v>-82.3</v>
      </c>
      <c r="E46" s="18" t="n">
        <v>60</v>
      </c>
      <c r="F46" s="18" t="n">
        <f aca="false">E46*0.5144</f>
        <v>30.864</v>
      </c>
      <c r="G46" s="22" t="e">
        <f aca="false">arclethnm(C45,D45,C46,D46)/6</f>
        <v>#NAME?</v>
      </c>
      <c r="H46" s="22" t="e">
        <f aca="false">G46*0.5144</f>
        <v>#NAME?</v>
      </c>
      <c r="I46" s="18" t="n">
        <v>0</v>
      </c>
    </row>
    <row r="47" customFormat="false" ht="12.75" hidden="false" customHeight="false" outlineLevel="0" collapsed="false">
      <c r="A47" s="18" t="n">
        <f aca="false">A46+0.25</f>
        <v>11.25</v>
      </c>
      <c r="B47" s="18" t="n">
        <f aca="false">B46+0.25</f>
        <v>11.25</v>
      </c>
      <c r="C47" s="18" t="n">
        <v>24.8</v>
      </c>
      <c r="D47" s="18" t="n">
        <v>-83.2</v>
      </c>
      <c r="E47" s="18" t="n">
        <v>65</v>
      </c>
      <c r="F47" s="18" t="n">
        <f aca="false">E47*0.5144</f>
        <v>33.436</v>
      </c>
      <c r="G47" s="22" t="e">
        <f aca="false">arclethnm(C46,D46,C47,D47)/6</f>
        <v>#NAME?</v>
      </c>
      <c r="H47" s="22" t="e">
        <f aca="false">G47*0.5144</f>
        <v>#NAME?</v>
      </c>
      <c r="I47" s="18" t="n">
        <v>0</v>
      </c>
    </row>
    <row r="48" customFormat="false" ht="12.75" hidden="false" customHeight="false" outlineLevel="0" collapsed="false">
      <c r="A48" s="18" t="n">
        <f aca="false">A47+0.25</f>
        <v>11.5</v>
      </c>
      <c r="B48" s="18" t="n">
        <f aca="false">B47+0.25</f>
        <v>11.5</v>
      </c>
      <c r="C48" s="18" t="n">
        <v>25.5</v>
      </c>
      <c r="D48" s="18" t="n">
        <v>-84.1</v>
      </c>
      <c r="E48" s="18" t="n">
        <v>75</v>
      </c>
      <c r="F48" s="18" t="n">
        <f aca="false">E48*0.5144</f>
        <v>38.58</v>
      </c>
      <c r="G48" s="22" t="e">
        <f aca="false">arclethnm(C47,D47,C48,D48)/6</f>
        <v>#NAME?</v>
      </c>
      <c r="H48" s="22" t="e">
        <f aca="false">G48*0.5144</f>
        <v>#NAME?</v>
      </c>
      <c r="I48" s="18" t="n">
        <v>0</v>
      </c>
    </row>
    <row r="49" customFormat="false" ht="12.75" hidden="false" customHeight="false" outlineLevel="0" collapsed="false">
      <c r="A49" s="18" t="n">
        <f aca="false">A48+0.25</f>
        <v>11.75</v>
      </c>
      <c r="B49" s="18" t="n">
        <f aca="false">B48+0.25</f>
        <v>11.75</v>
      </c>
      <c r="C49" s="18" t="n">
        <v>26.1</v>
      </c>
      <c r="D49" s="18" t="n">
        <v>-85.2</v>
      </c>
      <c r="E49" s="18" t="n">
        <v>85</v>
      </c>
      <c r="F49" s="18" t="n">
        <f aca="false">E49*0.5144</f>
        <v>43.724</v>
      </c>
      <c r="G49" s="22" t="e">
        <f aca="false">arclethnm(C48,D48,C49,D49)/6</f>
        <v>#NAME?</v>
      </c>
      <c r="H49" s="22" t="e">
        <f aca="false">G49*0.5144</f>
        <v>#NAME?</v>
      </c>
      <c r="I49" s="18" t="n">
        <v>974</v>
      </c>
    </row>
    <row r="50" customFormat="false" ht="12.75" hidden="false" customHeight="false" outlineLevel="0" collapsed="false">
      <c r="A50" s="18" t="n">
        <f aca="false">A49+0.25</f>
        <v>12</v>
      </c>
      <c r="B50" s="18" t="n">
        <f aca="false">B49+0.25</f>
        <v>12</v>
      </c>
      <c r="C50" s="18" t="n">
        <v>26.5</v>
      </c>
      <c r="D50" s="18" t="n">
        <v>-86.2</v>
      </c>
      <c r="E50" s="18" t="n">
        <v>95</v>
      </c>
      <c r="F50" s="18" t="n">
        <f aca="false">E50*0.5144</f>
        <v>48.868</v>
      </c>
      <c r="G50" s="22" t="e">
        <f aca="false">arclethnm(C49,D49,C50,D50)/6</f>
        <v>#NAME?</v>
      </c>
      <c r="H50" s="22" t="e">
        <f aca="false">G50*0.5144</f>
        <v>#NAME?</v>
      </c>
      <c r="I50" s="18" t="n">
        <v>0</v>
      </c>
    </row>
    <row r="51" customFormat="false" ht="12.75" hidden="false" customHeight="false" outlineLevel="0" collapsed="false">
      <c r="A51" s="18" t="n">
        <f aca="false">A50+0.25</f>
        <v>12.25</v>
      </c>
      <c r="B51" s="18" t="n">
        <f aca="false">B50+0.25</f>
        <v>12.25</v>
      </c>
      <c r="C51" s="18" t="n">
        <v>26.8</v>
      </c>
      <c r="D51" s="18" t="n">
        <v>-87.4</v>
      </c>
      <c r="E51" s="18" t="n">
        <v>105</v>
      </c>
      <c r="F51" s="18" t="n">
        <f aca="false">E51*0.5144</f>
        <v>54.012</v>
      </c>
      <c r="G51" s="22" t="e">
        <f aca="false">arclethnm(C50,D50,C51,D51)/6</f>
        <v>#NAME?</v>
      </c>
      <c r="H51" s="22" t="e">
        <f aca="false">G51*0.5144</f>
        <v>#NAME?</v>
      </c>
      <c r="I51" s="18" t="n">
        <v>0</v>
      </c>
    </row>
    <row r="52" customFormat="false" ht="12.75" hidden="false" customHeight="false" outlineLevel="0" collapsed="false">
      <c r="A52" s="18" t="n">
        <f aca="false">A51+0.25</f>
        <v>12.5</v>
      </c>
      <c r="B52" s="18" t="n">
        <f aca="false">B51+0.25</f>
        <v>12.5</v>
      </c>
      <c r="C52" s="18" t="n">
        <v>27</v>
      </c>
      <c r="D52" s="18" t="n">
        <v>-88.7</v>
      </c>
      <c r="E52" s="18" t="n">
        <v>115</v>
      </c>
      <c r="F52" s="18" t="n">
        <f aca="false">E52*0.5144</f>
        <v>59.156</v>
      </c>
      <c r="G52" s="22" t="e">
        <f aca="false">arclethnm(C51,D51,C52,D52)/6</f>
        <v>#NAME?</v>
      </c>
      <c r="H52" s="22" t="e">
        <f aca="false">G52*0.5144</f>
        <v>#NAME?</v>
      </c>
      <c r="I52" s="18" t="n">
        <v>0</v>
      </c>
    </row>
    <row r="53" customFormat="false" ht="12.75" hidden="false" customHeight="false" outlineLevel="0" collapsed="false">
      <c r="A53" s="18" t="n">
        <f aca="false">A52+0.25</f>
        <v>12.75</v>
      </c>
      <c r="B53" s="18" t="n">
        <f aca="false">B52+0.25</f>
        <v>12.75</v>
      </c>
      <c r="C53" s="18" t="n">
        <v>27.2</v>
      </c>
      <c r="D53" s="18" t="n">
        <v>-89.7</v>
      </c>
      <c r="E53" s="18" t="n">
        <v>125</v>
      </c>
      <c r="F53" s="18" t="n">
        <f aca="false">E53*0.5144</f>
        <v>64.3</v>
      </c>
      <c r="G53" s="22" t="e">
        <f aca="false">arclethnm(C52,D52,C53,D53)/6</f>
        <v>#NAME?</v>
      </c>
      <c r="H53" s="22" t="e">
        <f aca="false">G53*0.5144</f>
        <v>#NAME?</v>
      </c>
      <c r="I53" s="18" t="n">
        <v>0</v>
      </c>
    </row>
    <row r="54" customFormat="false" ht="12.75" hidden="false" customHeight="false" outlineLevel="0" collapsed="false">
      <c r="A54" s="18" t="n">
        <f aca="false">A53+0.25</f>
        <v>13</v>
      </c>
      <c r="B54" s="18" t="n">
        <f aca="false">B53+0.25</f>
        <v>13</v>
      </c>
      <c r="C54" s="18" t="n">
        <v>27.4</v>
      </c>
      <c r="D54" s="18" t="n">
        <v>-90.6</v>
      </c>
      <c r="E54" s="18" t="n">
        <v>125</v>
      </c>
      <c r="F54" s="18" t="n">
        <f aca="false">E54*0.5144</f>
        <v>64.3</v>
      </c>
      <c r="G54" s="22" t="e">
        <f aca="false">arclethnm(C53,D53,C54,D54)/6</f>
        <v>#NAME?</v>
      </c>
      <c r="H54" s="22" t="e">
        <f aca="false">G54*0.5144</f>
        <v>#NAME?</v>
      </c>
      <c r="I54" s="18" t="n">
        <v>0</v>
      </c>
    </row>
    <row r="55" customFormat="false" ht="12.75" hidden="false" customHeight="false" outlineLevel="0" collapsed="false">
      <c r="A55" s="18" t="n">
        <f aca="false">A54+0.25</f>
        <v>13.25</v>
      </c>
      <c r="B55" s="18" t="n">
        <f aca="false">B54+0.25</f>
        <v>13.25</v>
      </c>
      <c r="C55" s="18" t="n">
        <v>27.6</v>
      </c>
      <c r="D55" s="18" t="n">
        <v>-91.5</v>
      </c>
      <c r="E55" s="18" t="n">
        <v>125</v>
      </c>
      <c r="F55" s="18" t="n">
        <f aca="false">E55*0.5144</f>
        <v>64.3</v>
      </c>
      <c r="G55" s="22" t="e">
        <f aca="false">arclethnm(C54,D54,C55,D55)/6</f>
        <v>#NAME?</v>
      </c>
      <c r="H55" s="22" t="e">
        <f aca="false">G55*0.5144</f>
        <v>#NAME?</v>
      </c>
      <c r="I55" s="18" t="n">
        <v>0</v>
      </c>
    </row>
    <row r="56" customFormat="false" ht="12.75" hidden="false" customHeight="false" outlineLevel="0" collapsed="false">
      <c r="A56" s="18" t="n">
        <f aca="false">A55+0.25</f>
        <v>13.5</v>
      </c>
      <c r="B56" s="18" t="n">
        <f aca="false">B55+0.25</f>
        <v>13.5</v>
      </c>
      <c r="C56" s="18" t="n">
        <v>27.8</v>
      </c>
      <c r="D56" s="18" t="n">
        <v>-92.4</v>
      </c>
      <c r="E56" s="18" t="n">
        <v>120</v>
      </c>
      <c r="F56" s="18" t="n">
        <f aca="false">E56*0.5144</f>
        <v>61.728</v>
      </c>
      <c r="G56" s="22" t="e">
        <f aca="false">arclethnm(C55,D55,C56,D56)/6</f>
        <v>#NAME?</v>
      </c>
      <c r="H56" s="22" t="e">
        <f aca="false">G56*0.5144</f>
        <v>#NAME?</v>
      </c>
      <c r="I56" s="18" t="n">
        <v>0</v>
      </c>
    </row>
    <row r="57" customFormat="false" ht="12.75" hidden="false" customHeight="false" outlineLevel="0" collapsed="false">
      <c r="A57" s="18" t="n">
        <f aca="false">A56+0.25</f>
        <v>13.75</v>
      </c>
      <c r="B57" s="18" t="n">
        <f aca="false">B56+0.25</f>
        <v>13.75</v>
      </c>
      <c r="C57" s="18" t="n">
        <v>28.2</v>
      </c>
      <c r="D57" s="18" t="n">
        <v>-93.5</v>
      </c>
      <c r="E57" s="18" t="n">
        <v>120</v>
      </c>
      <c r="F57" s="18" t="n">
        <f aca="false">E57*0.5144</f>
        <v>61.728</v>
      </c>
      <c r="G57" s="22" t="e">
        <f aca="false">arclethnm(C56,D56,C57,D57)/6</f>
        <v>#NAME?</v>
      </c>
      <c r="H57" s="22" t="e">
        <f aca="false">G57*0.5144</f>
        <v>#NAME?</v>
      </c>
      <c r="I57" s="18" t="n">
        <v>0</v>
      </c>
    </row>
    <row r="58" customFormat="false" ht="12.75" hidden="false" customHeight="false" outlineLevel="0" collapsed="false">
      <c r="A58" s="18" t="n">
        <f aca="false">A57+0.25</f>
        <v>14</v>
      </c>
      <c r="B58" s="18" t="n">
        <f aca="false">B57+0.25</f>
        <v>14</v>
      </c>
      <c r="C58" s="18" t="n">
        <v>28.9</v>
      </c>
      <c r="D58" s="18" t="n">
        <v>-94.7</v>
      </c>
      <c r="E58" s="18" t="n">
        <v>120</v>
      </c>
      <c r="F58" s="18" t="n">
        <f aca="false">E58*0.5144</f>
        <v>61.728</v>
      </c>
      <c r="G58" s="22" t="e">
        <f aca="false">arclethnm(C57,D57,C58,D58)/6</f>
        <v>#NAME?</v>
      </c>
      <c r="H58" s="22" t="e">
        <f aca="false">G58*0.5144</f>
        <v>#NAME?</v>
      </c>
      <c r="I58" s="18" t="n">
        <v>936</v>
      </c>
    </row>
    <row r="59" customFormat="false" ht="12.75" hidden="false" customHeight="false" outlineLevel="0" collapsed="false">
      <c r="A59" s="18" t="n">
        <f aca="false">A58+0.25</f>
        <v>14.25</v>
      </c>
      <c r="B59" s="18" t="n">
        <f aca="false">B58+0.25</f>
        <v>14.25</v>
      </c>
      <c r="C59" s="18" t="n">
        <v>29.1</v>
      </c>
      <c r="D59" s="18" t="n">
        <v>-95.1</v>
      </c>
      <c r="E59" s="18" t="n">
        <v>120</v>
      </c>
      <c r="F59" s="18" t="n">
        <f aca="false">E59*0.5144</f>
        <v>61.728</v>
      </c>
      <c r="G59" s="22" t="e">
        <f aca="false">arclethnm(C58,D58,C59,D59)/6</f>
        <v>#NAME?</v>
      </c>
      <c r="H59" s="22" t="e">
        <f aca="false">G59*0.5144</f>
        <v>#NAME?</v>
      </c>
      <c r="I59" s="18" t="n">
        <v>936</v>
      </c>
    </row>
    <row r="60" customFormat="false" ht="12.75" hidden="false" customHeight="false" outlineLevel="0" collapsed="false">
      <c r="A60" s="18" t="n">
        <f aca="false">A59+0.25</f>
        <v>14.5</v>
      </c>
      <c r="B60" s="18" t="n">
        <f aca="false">B59+0.25</f>
        <v>14.5</v>
      </c>
      <c r="C60" s="18" t="n">
        <v>29.8</v>
      </c>
      <c r="D60" s="18" t="n">
        <v>-95.9</v>
      </c>
      <c r="E60" s="18" t="n">
        <v>90</v>
      </c>
      <c r="F60" s="18" t="n">
        <f aca="false">E60*0.5144</f>
        <v>46.296</v>
      </c>
      <c r="G60" s="22" t="e">
        <f aca="false">arclethnm(C59,D59,C60,D60)/6</f>
        <v>#NAME?</v>
      </c>
      <c r="H60" s="22" t="e">
        <f aca="false">G60*0.5144</f>
        <v>#NAME?</v>
      </c>
      <c r="I60" s="18" t="n">
        <v>0</v>
      </c>
    </row>
    <row r="61" customFormat="false" ht="12.75" hidden="false" customHeight="false" outlineLevel="0" collapsed="false">
      <c r="A61" s="18" t="n">
        <f aca="false">A60+0.25</f>
        <v>14.75</v>
      </c>
      <c r="B61" s="18" t="n">
        <f aca="false">B60+0.25</f>
        <v>14.75</v>
      </c>
      <c r="C61" s="18" t="n">
        <v>31</v>
      </c>
      <c r="D61" s="18" t="n">
        <v>-96.9</v>
      </c>
      <c r="E61" s="18" t="n">
        <v>65</v>
      </c>
      <c r="F61" s="18" t="n">
        <f aca="false">E61*0.5144</f>
        <v>33.436</v>
      </c>
      <c r="G61" s="22" t="e">
        <f aca="false">arclethnm(C60,D60,C61,D61)/6</f>
        <v>#NAME?</v>
      </c>
      <c r="H61" s="22" t="e">
        <f aca="false">G61*0.5144</f>
        <v>#NAME?</v>
      </c>
      <c r="I61" s="18" t="n">
        <v>0</v>
      </c>
    </row>
    <row r="62" customFormat="false" ht="12.75" hidden="false" customHeight="false" outlineLevel="0" collapsed="false">
      <c r="A62" s="18" t="n">
        <f aca="false">A61+0.25</f>
        <v>15</v>
      </c>
      <c r="B62" s="18" t="n">
        <f aca="false">B61+0.25</f>
        <v>15</v>
      </c>
      <c r="C62" s="18" t="n">
        <v>32.2</v>
      </c>
      <c r="D62" s="18" t="n">
        <v>-97.6</v>
      </c>
      <c r="E62" s="18" t="n">
        <v>50</v>
      </c>
      <c r="F62" s="18" t="n">
        <f aca="false">E62*0.5144</f>
        <v>25.72</v>
      </c>
      <c r="G62" s="22" t="e">
        <f aca="false">arclethnm(C61,D61,C62,D62)/6</f>
        <v>#NAME?</v>
      </c>
      <c r="H62" s="22" t="e">
        <f aca="false">G62*0.5144</f>
        <v>#NAME?</v>
      </c>
      <c r="I62" s="18" t="n">
        <v>0</v>
      </c>
    </row>
    <row r="63" customFormat="false" ht="12.75" hidden="false" customHeight="false" outlineLevel="0" collapsed="false">
      <c r="A63" s="18" t="n">
        <f aca="false">A62+0.25</f>
        <v>15.25</v>
      </c>
      <c r="B63" s="18" t="n">
        <f aca="false">B62+0.25</f>
        <v>15.25</v>
      </c>
      <c r="C63" s="18" t="n">
        <v>33.4</v>
      </c>
      <c r="D63" s="18" t="n">
        <v>-97.8</v>
      </c>
      <c r="E63" s="18" t="n">
        <v>45</v>
      </c>
      <c r="F63" s="18" t="n">
        <f aca="false">E63*0.5144</f>
        <v>23.148</v>
      </c>
      <c r="G63" s="22" t="e">
        <f aca="false">arclethnm(C62,D62,C63,D63)/6</f>
        <v>#NAME?</v>
      </c>
      <c r="H63" s="22" t="e">
        <f aca="false">G63*0.5144</f>
        <v>#NAME?</v>
      </c>
      <c r="I63" s="18" t="n">
        <v>0</v>
      </c>
    </row>
    <row r="64" customFormat="false" ht="12.75" hidden="false" customHeight="false" outlineLevel="0" collapsed="false">
      <c r="A64" s="18" t="n">
        <f aca="false">A63+0.25</f>
        <v>15.5</v>
      </c>
      <c r="B64" s="18" t="n">
        <f aca="false">B63+0.25</f>
        <v>15.5</v>
      </c>
      <c r="C64" s="18" t="n">
        <v>34.7</v>
      </c>
      <c r="D64" s="18" t="n">
        <v>-97.8</v>
      </c>
      <c r="E64" s="18" t="n">
        <v>40</v>
      </c>
      <c r="F64" s="18" t="n">
        <f aca="false">E64*0.5144</f>
        <v>20.576</v>
      </c>
      <c r="G64" s="22" t="e">
        <f aca="false">arclethnm(C63,D63,C64,D64)/6</f>
        <v>#NAME?</v>
      </c>
      <c r="H64" s="22" t="e">
        <f aca="false">G64*0.5144</f>
        <v>#NAME?</v>
      </c>
      <c r="I64" s="18" t="n">
        <v>0</v>
      </c>
    </row>
    <row r="65" customFormat="false" ht="12.75" hidden="false" customHeight="false" outlineLevel="0" collapsed="false">
      <c r="A65" s="18" t="n">
        <f aca="false">A64+0.25</f>
        <v>15.75</v>
      </c>
      <c r="B65" s="18" t="n">
        <f aca="false">B64+0.25</f>
        <v>15.75</v>
      </c>
      <c r="C65" s="18" t="n">
        <v>36</v>
      </c>
      <c r="D65" s="18" t="n">
        <v>-97.6</v>
      </c>
      <c r="E65" s="18" t="n">
        <v>35</v>
      </c>
      <c r="F65" s="18" t="n">
        <f aca="false">E65*0.5144</f>
        <v>18.004</v>
      </c>
      <c r="G65" s="22" t="e">
        <f aca="false">arclethnm(C64,D64,C65,D65)/6</f>
        <v>#NAME?</v>
      </c>
      <c r="H65" s="22" t="e">
        <f aca="false">G65*0.5144</f>
        <v>#NAME?</v>
      </c>
      <c r="I65" s="18" t="n">
        <v>0</v>
      </c>
    </row>
    <row r="66" customFormat="false" ht="12.75" hidden="false" customHeight="false" outlineLevel="0" collapsed="false">
      <c r="A66" s="18" t="n">
        <f aca="false">A65+0.25</f>
        <v>16</v>
      </c>
      <c r="B66" s="18" t="n">
        <f aca="false">B65+0.25</f>
        <v>16</v>
      </c>
      <c r="C66" s="18" t="n">
        <v>37.4</v>
      </c>
      <c r="D66" s="18" t="n">
        <v>-97.3</v>
      </c>
      <c r="E66" s="18" t="n">
        <v>30</v>
      </c>
      <c r="F66" s="18" t="n">
        <f aca="false">E66*0.5144</f>
        <v>15.432</v>
      </c>
      <c r="G66" s="22" t="e">
        <f aca="false">arclethnm(C65,D65,C66,D66)/6</f>
        <v>#NAME?</v>
      </c>
      <c r="H66" s="22" t="e">
        <f aca="false">G66*0.5144</f>
        <v>#NAME?</v>
      </c>
      <c r="I66" s="18" t="n">
        <v>0</v>
      </c>
    </row>
    <row r="67" customFormat="false" ht="12.75" hidden="false" customHeight="false" outlineLevel="0" collapsed="false">
      <c r="A67" s="18" t="n">
        <f aca="false">A66+0.25</f>
        <v>16.25</v>
      </c>
      <c r="B67" s="18" t="n">
        <f aca="false">B66+0.25</f>
        <v>16.25</v>
      </c>
      <c r="C67" s="18" t="n">
        <v>38.8</v>
      </c>
      <c r="D67" s="18" t="n">
        <v>-96.5</v>
      </c>
      <c r="E67" s="18" t="n">
        <v>30</v>
      </c>
      <c r="F67" s="18" t="n">
        <f aca="false">E67*0.5144</f>
        <v>15.432</v>
      </c>
      <c r="G67" s="22" t="e">
        <f aca="false">arclethnm(C66,D66,C67,D67)/6</f>
        <v>#NAME?</v>
      </c>
      <c r="H67" s="22" t="e">
        <f aca="false">G67*0.5144</f>
        <v>#NAME?</v>
      </c>
      <c r="I67" s="18" t="n">
        <v>0</v>
      </c>
    </row>
    <row r="68" customFormat="false" ht="12.75" hidden="false" customHeight="false" outlineLevel="0" collapsed="false">
      <c r="A68" s="18" t="n">
        <f aca="false">A67+0.25</f>
        <v>16.5</v>
      </c>
      <c r="B68" s="18" t="n">
        <f aca="false">B67+0.25</f>
        <v>16.5</v>
      </c>
      <c r="C68" s="18" t="n">
        <v>40.2</v>
      </c>
      <c r="D68" s="18" t="n">
        <v>-95.1</v>
      </c>
      <c r="E68" s="18" t="n">
        <v>30</v>
      </c>
      <c r="F68" s="18" t="n">
        <f aca="false">E68*0.5144</f>
        <v>15.432</v>
      </c>
      <c r="G68" s="22" t="e">
        <f aca="false">arclethnm(C67,D67,C68,D68)/6</f>
        <v>#NAME?</v>
      </c>
      <c r="H68" s="22" t="e">
        <f aca="false">G68*0.5144</f>
        <v>#NAME?</v>
      </c>
      <c r="I68" s="18" t="n">
        <v>0</v>
      </c>
    </row>
    <row r="69" customFormat="false" ht="12.75" hidden="false" customHeight="false" outlineLevel="0" collapsed="false">
      <c r="A69" s="18" t="n">
        <f aca="false">A68+0.25</f>
        <v>16.75</v>
      </c>
      <c r="B69" s="18" t="n">
        <f aca="false">B68+0.25</f>
        <v>16.75</v>
      </c>
      <c r="C69" s="18" t="n">
        <v>41.5</v>
      </c>
      <c r="D69" s="18" t="n">
        <v>-92.4</v>
      </c>
      <c r="E69" s="18" t="n">
        <v>40</v>
      </c>
      <c r="F69" s="18" t="n">
        <f aca="false">E69*0.5144</f>
        <v>20.576</v>
      </c>
      <c r="G69" s="22" t="e">
        <f aca="false">arclethnm(C68,D68,C69,D69)/6</f>
        <v>#NAME?</v>
      </c>
      <c r="H69" s="22" t="e">
        <f aca="false">G69*0.5144</f>
        <v>#NAME?</v>
      </c>
      <c r="I69" s="18" t="n">
        <v>0</v>
      </c>
    </row>
    <row r="70" customFormat="false" ht="12.75" hidden="false" customHeight="false" outlineLevel="0" collapsed="false">
      <c r="A70" s="18" t="n">
        <f aca="false">A69+0.25</f>
        <v>17</v>
      </c>
      <c r="B70" s="18" t="n">
        <f aca="false">B69+0.25</f>
        <v>17</v>
      </c>
      <c r="C70" s="18" t="n">
        <v>42.6</v>
      </c>
      <c r="D70" s="18" t="n">
        <v>-88.6</v>
      </c>
      <c r="E70" s="18" t="n">
        <v>50</v>
      </c>
      <c r="F70" s="18" t="n">
        <f aca="false">E70*0.5144</f>
        <v>25.72</v>
      </c>
      <c r="G70" s="22" t="e">
        <f aca="false">arclethnm(C69,D69,C70,D70)/6</f>
        <v>#NAME?</v>
      </c>
      <c r="H70" s="22" t="e">
        <f aca="false">G70*0.5144</f>
        <v>#NAME?</v>
      </c>
      <c r="I70" s="18" t="n">
        <v>0</v>
      </c>
    </row>
    <row r="71" customFormat="false" ht="12.75" hidden="false" customHeight="false" outlineLevel="0" collapsed="false">
      <c r="A71" s="18" t="n">
        <f aca="false">A70+0.25</f>
        <v>17.25</v>
      </c>
      <c r="B71" s="18" t="n">
        <f aca="false">B70+0.25</f>
        <v>17.25</v>
      </c>
      <c r="C71" s="18" t="n">
        <v>43.4</v>
      </c>
      <c r="D71" s="18" t="n">
        <v>-84.2</v>
      </c>
      <c r="E71" s="18" t="n">
        <v>55</v>
      </c>
      <c r="F71" s="18" t="n">
        <f aca="false">E71*0.5144</f>
        <v>28.292</v>
      </c>
      <c r="G71" s="22" t="e">
        <f aca="false">arclethnm(C70,D70,C71,D71)/6</f>
        <v>#NAME?</v>
      </c>
      <c r="H71" s="22" t="e">
        <f aca="false">G71*0.5144</f>
        <v>#NAME?</v>
      </c>
      <c r="I71" s="18" t="n">
        <v>0</v>
      </c>
    </row>
    <row r="72" customFormat="false" ht="12.75" hidden="false" customHeight="false" outlineLevel="0" collapsed="false">
      <c r="A72" s="18" t="n">
        <f aca="false">A71+0.25</f>
        <v>17.5</v>
      </c>
      <c r="B72" s="18" t="n">
        <f aca="false">B71+0.25</f>
        <v>17.5</v>
      </c>
      <c r="C72" s="18" t="n">
        <v>44.3</v>
      </c>
      <c r="D72" s="18" t="n">
        <v>-79.4</v>
      </c>
      <c r="E72" s="18" t="n">
        <v>60</v>
      </c>
      <c r="F72" s="18" t="n">
        <f aca="false">E72*0.5144</f>
        <v>30.864</v>
      </c>
      <c r="G72" s="22" t="e">
        <f aca="false">arclethnm(C71,D71,C72,D72)/6</f>
        <v>#NAME?</v>
      </c>
      <c r="H72" s="22" t="e">
        <f aca="false">G72*0.5144</f>
        <v>#NAME?</v>
      </c>
      <c r="I72" s="18" t="n">
        <v>0</v>
      </c>
    </row>
    <row r="73" customFormat="false" ht="12.75" hidden="false" customHeight="false" outlineLevel="0" collapsed="false">
      <c r="A73" s="18" t="n">
        <f aca="false">A72+0.25</f>
        <v>17.75</v>
      </c>
      <c r="B73" s="18" t="n">
        <f aca="false">B72+0.25</f>
        <v>17.75</v>
      </c>
      <c r="C73" s="18" t="n">
        <v>45.2</v>
      </c>
      <c r="D73" s="18" t="n">
        <v>-74.5</v>
      </c>
      <c r="E73" s="18" t="n">
        <v>65</v>
      </c>
      <c r="F73" s="18" t="n">
        <f aca="false">E73*0.5144</f>
        <v>33.436</v>
      </c>
      <c r="G73" s="22" t="e">
        <f aca="false">arclethnm(C72,D72,C73,D73)/6</f>
        <v>#NAME?</v>
      </c>
      <c r="H73" s="22" t="e">
        <f aca="false">G73*0.5144</f>
        <v>#NAME?</v>
      </c>
      <c r="I73" s="18" t="n">
        <v>0</v>
      </c>
    </row>
    <row r="74" customFormat="false" ht="12.75" hidden="false" customHeight="false" outlineLevel="0" collapsed="false">
      <c r="A74" s="18" t="n">
        <f aca="false">A73+0.25</f>
        <v>18</v>
      </c>
      <c r="B74" s="18" t="n">
        <f aca="false">B73+0.25</f>
        <v>18</v>
      </c>
      <c r="C74" s="18" t="n">
        <v>46.3</v>
      </c>
      <c r="D74" s="18" t="n">
        <v>-69.3</v>
      </c>
      <c r="E74" s="18" t="n">
        <v>65</v>
      </c>
      <c r="F74" s="18" t="n">
        <f aca="false">E74*0.5144</f>
        <v>33.436</v>
      </c>
      <c r="G74" s="22" t="e">
        <f aca="false">arclethnm(C73,D73,C74,D74)/6</f>
        <v>#NAME?</v>
      </c>
      <c r="H74" s="22" t="e">
        <f aca="false">G74*0.5144</f>
        <v>#NAME?</v>
      </c>
      <c r="I74" s="18" t="n">
        <v>0</v>
      </c>
    </row>
    <row r="75" customFormat="false" ht="12.75" hidden="false" customHeight="false" outlineLevel="0" collapsed="false">
      <c r="A75" s="18" t="n">
        <f aca="false">A74+0.25</f>
        <v>18.25</v>
      </c>
      <c r="B75" s="18" t="n">
        <f aca="false">B74+0.25</f>
        <v>18.25</v>
      </c>
      <c r="C75" s="18" t="n">
        <v>47.5</v>
      </c>
      <c r="D75" s="18" t="n">
        <v>-64</v>
      </c>
      <c r="E75" s="18" t="n">
        <v>65</v>
      </c>
      <c r="F75" s="18" t="n">
        <f aca="false">E75*0.5144</f>
        <v>33.436</v>
      </c>
      <c r="G75" s="22" t="e">
        <f aca="false">arclethnm(C74,D74,C75,D75)/6</f>
        <v>#NAME?</v>
      </c>
      <c r="H75" s="22" t="e">
        <f aca="false">G75*0.5144</f>
        <v>#NAME?</v>
      </c>
      <c r="I75" s="18" t="n">
        <v>0</v>
      </c>
    </row>
    <row r="76" customFormat="false" ht="12.75" hidden="false" customHeight="false" outlineLevel="0" collapsed="false">
      <c r="A76" s="18" t="n">
        <f aca="false">A75+0.25</f>
        <v>18.5</v>
      </c>
      <c r="B76" s="18" t="n">
        <f aca="false">B75+0.25</f>
        <v>18.5</v>
      </c>
      <c r="C76" s="18" t="n">
        <v>48.6</v>
      </c>
      <c r="D76" s="18" t="n">
        <v>-58.7</v>
      </c>
      <c r="E76" s="18" t="n">
        <v>65</v>
      </c>
      <c r="F76" s="18" t="n">
        <f aca="false">E76*0.5144</f>
        <v>33.436</v>
      </c>
      <c r="G76" s="22" t="e">
        <f aca="false">arclethnm(C75,D75,C76,D76)/6</f>
        <v>#NAME?</v>
      </c>
      <c r="H76" s="22" t="e">
        <f aca="false">G76*0.5144</f>
        <v>#NAME?</v>
      </c>
      <c r="I76" s="18" t="n">
        <v>0</v>
      </c>
    </row>
    <row r="77" customFormat="false" ht="12.75" hidden="false" customHeight="false" outlineLevel="0" collapsed="false">
      <c r="A77" s="18" t="n">
        <f aca="false">A76+0.25</f>
        <v>18.75</v>
      </c>
      <c r="B77" s="18" t="n">
        <f aca="false">B76+0.25</f>
        <v>18.75</v>
      </c>
      <c r="C77" s="18" t="n">
        <v>49.7</v>
      </c>
      <c r="D77" s="18" t="n">
        <v>-53.9</v>
      </c>
      <c r="E77" s="18" t="n">
        <v>65</v>
      </c>
      <c r="F77" s="18" t="n">
        <f aca="false">E77*0.5144</f>
        <v>33.436</v>
      </c>
      <c r="G77" s="22" t="e">
        <f aca="false">arclethnm(C76,D76,C77,D77)/6</f>
        <v>#NAME?</v>
      </c>
      <c r="H77" s="22" t="e">
        <f aca="false">G77*0.5144</f>
        <v>#NAME?</v>
      </c>
      <c r="I77" s="18" t="n">
        <v>0</v>
      </c>
    </row>
    <row r="78" customFormat="false" ht="12.75" hidden="false" customHeight="false" outlineLevel="0" collapsed="false">
      <c r="A78" s="18" t="n">
        <f aca="false">A77+0.25</f>
        <v>19</v>
      </c>
      <c r="B78" s="18" t="n">
        <f aca="false">B77+0.25</f>
        <v>19</v>
      </c>
      <c r="C78" s="18" t="n">
        <v>50.6</v>
      </c>
      <c r="D78" s="18" t="n">
        <v>-49.8</v>
      </c>
      <c r="E78" s="18" t="n">
        <v>60</v>
      </c>
      <c r="F78" s="18" t="n">
        <f aca="false">E78*0.5144</f>
        <v>30.864</v>
      </c>
      <c r="G78" s="22" t="e">
        <f aca="false">arclethnm(C77,D77,C78,D78)/6</f>
        <v>#NAME?</v>
      </c>
      <c r="H78" s="22" t="e">
        <f aca="false">G78*0.5144</f>
        <v>#NAME?</v>
      </c>
      <c r="I78" s="18" t="n">
        <v>0</v>
      </c>
    </row>
    <row r="79" customFormat="false" ht="12.75" hidden="false" customHeight="false" outlineLevel="0" collapsed="false">
      <c r="A79" s="18" t="n">
        <f aca="false">A78+0.25</f>
        <v>19.25</v>
      </c>
      <c r="B79" s="18" t="n">
        <f aca="false">B78+0.25</f>
        <v>19.25</v>
      </c>
      <c r="C79" s="18" t="n">
        <v>51.4</v>
      </c>
      <c r="D79" s="18" t="n">
        <v>-46.2</v>
      </c>
      <c r="E79" s="18" t="n">
        <v>55</v>
      </c>
      <c r="F79" s="18" t="n">
        <f aca="false">E79*0.5144</f>
        <v>28.292</v>
      </c>
      <c r="G79" s="22" t="e">
        <f aca="false">arclethnm(C78,D78,C79,D79)/6</f>
        <v>#NAME?</v>
      </c>
      <c r="H79" s="22" t="e">
        <f aca="false">G79*0.5144</f>
        <v>#NAME?</v>
      </c>
      <c r="I79" s="18" t="n">
        <v>0</v>
      </c>
    </row>
    <row r="80" customFormat="false" ht="12.75" hidden="false" customHeight="false" outlineLevel="0" collapsed="false">
      <c r="A80" s="18" t="n">
        <f aca="false">A79+0.25</f>
        <v>19.5</v>
      </c>
      <c r="B80" s="18" t="n">
        <f aca="false">B79+0.25</f>
        <v>19.5</v>
      </c>
      <c r="C80" s="18" t="n">
        <v>52.1</v>
      </c>
      <c r="D80" s="18" t="n">
        <v>-43</v>
      </c>
      <c r="E80" s="18" t="n">
        <v>50</v>
      </c>
      <c r="F80" s="18" t="n">
        <f aca="false">E80*0.5144</f>
        <v>25.72</v>
      </c>
      <c r="G80" s="22" t="e">
        <f aca="false">arclethnm(C79,D79,C80,D80)/6</f>
        <v>#NAME?</v>
      </c>
      <c r="H80" s="22" t="e">
        <f aca="false">G80*0.5144</f>
        <v>#NAME?</v>
      </c>
      <c r="I80" s="18" t="n">
        <v>0</v>
      </c>
    </row>
    <row r="81" customFormat="false" ht="12.75" hidden="false" customHeight="false" outlineLevel="0" collapsed="false">
      <c r="A81" s="18" t="n">
        <f aca="false">A80+0.25</f>
        <v>19.75</v>
      </c>
      <c r="B81" s="18" t="n">
        <f aca="false">B80+0.25</f>
        <v>19.75</v>
      </c>
      <c r="C81" s="18" t="n">
        <v>53</v>
      </c>
      <c r="D81" s="18" t="n">
        <v>-40</v>
      </c>
      <c r="E81" s="18" t="n">
        <v>45</v>
      </c>
      <c r="F81" s="18" t="n">
        <f aca="false">E81*0.5144</f>
        <v>23.148</v>
      </c>
      <c r="G81" s="22" t="e">
        <f aca="false">arclethnm(C80,D80,C81,D81)/6</f>
        <v>#NAME?</v>
      </c>
      <c r="H81" s="22" t="e">
        <f aca="false">G81*0.5144</f>
        <v>#NAME?</v>
      </c>
      <c r="I81" s="18" t="n">
        <v>0</v>
      </c>
    </row>
    <row r="82" customFormat="false" ht="12.75" hidden="false" customHeight="false" outlineLevel="0" collapsed="false">
      <c r="A82" s="18" t="n">
        <f aca="false">A81+0.25</f>
        <v>20</v>
      </c>
      <c r="B82" s="18" t="n">
        <f aca="false">B81+0.25</f>
        <v>20</v>
      </c>
      <c r="C82" s="18" t="n">
        <v>54.1</v>
      </c>
      <c r="D82" s="18" t="n">
        <v>-37.2</v>
      </c>
      <c r="E82" s="18" t="n">
        <v>45</v>
      </c>
      <c r="F82" s="18" t="n">
        <f aca="false">E82*0.5144</f>
        <v>23.148</v>
      </c>
      <c r="G82" s="22" t="e">
        <f aca="false">arclethnm(C81,D81,C82,D82)/6</f>
        <v>#NAME?</v>
      </c>
      <c r="H82" s="22" t="e">
        <f aca="false">G82*0.5144</f>
        <v>#NAME?</v>
      </c>
      <c r="I82" s="18" t="n">
        <v>0</v>
      </c>
    </row>
    <row r="83" customFormat="false" ht="12.75" hidden="false" customHeight="false" outlineLevel="0" collapsed="false">
      <c r="A83" s="18" t="n">
        <f aca="false">A82+0.25</f>
        <v>20.25</v>
      </c>
      <c r="B83" s="18" t="n">
        <f aca="false">B82+0.25</f>
        <v>20.25</v>
      </c>
      <c r="C83" s="18" t="n">
        <v>55.3</v>
      </c>
      <c r="D83" s="18" t="n">
        <v>-34.6</v>
      </c>
      <c r="E83" s="18" t="n">
        <v>45</v>
      </c>
      <c r="F83" s="18" t="n">
        <f aca="false">E83*0.5144</f>
        <v>23.148</v>
      </c>
      <c r="G83" s="22" t="e">
        <f aca="false">arclethnm(C82,D82,C83,D83)/6</f>
        <v>#NAME?</v>
      </c>
      <c r="H83" s="22" t="e">
        <f aca="false">G83*0.5144</f>
        <v>#NAME?</v>
      </c>
      <c r="I83" s="18" t="n">
        <v>0</v>
      </c>
    </row>
    <row r="84" customFormat="false" ht="12.75" hidden="false" customHeight="false" outlineLevel="0" collapsed="false">
      <c r="A84" s="18" t="n">
        <f aca="false">A83+0.25</f>
        <v>20.5</v>
      </c>
      <c r="B84" s="18" t="n">
        <f aca="false">B83+0.25</f>
        <v>20.5</v>
      </c>
      <c r="C84" s="18" t="n">
        <v>56.7</v>
      </c>
      <c r="D84" s="18" t="n">
        <v>-32.2</v>
      </c>
      <c r="E84" s="18" t="n">
        <v>40</v>
      </c>
      <c r="F84" s="18" t="n">
        <f aca="false">E84*0.5144</f>
        <v>20.576</v>
      </c>
      <c r="G84" s="22" t="e">
        <f aca="false">arclethnm(C83,D83,C84,D84)/6</f>
        <v>#NAME?</v>
      </c>
      <c r="H84" s="22" t="e">
        <f aca="false">G84*0.5144</f>
        <v>#NAME?</v>
      </c>
      <c r="I84" s="18" t="n">
        <v>0</v>
      </c>
    </row>
    <row r="85" customFormat="false" ht="12.75" hidden="false" customHeight="false" outlineLevel="0" collapsed="false">
      <c r="A85" s="18" t="n">
        <f aca="false">A84+0.25</f>
        <v>20.75</v>
      </c>
      <c r="B85" s="18" t="n">
        <f aca="false">B84+0.25</f>
        <v>20.75</v>
      </c>
      <c r="C85" s="18" t="n">
        <v>58.2</v>
      </c>
      <c r="D85" s="18" t="n">
        <v>-30</v>
      </c>
      <c r="E85" s="18" t="n">
        <v>40</v>
      </c>
      <c r="F85" s="18" t="n">
        <f aca="false">E85*0.5144</f>
        <v>20.576</v>
      </c>
      <c r="G85" s="22" t="e">
        <f aca="false">arclethnm(C84,D84,C85,D85)/6</f>
        <v>#NAME?</v>
      </c>
      <c r="H85" s="22" t="e">
        <f aca="false">G85*0.5144</f>
        <v>#NAME?</v>
      </c>
      <c r="I85" s="18" t="n">
        <v>0</v>
      </c>
    </row>
    <row r="86" customFormat="false" ht="12.75" hidden="false" customHeight="false" outlineLevel="0" collapsed="false">
      <c r="A86" s="18" t="n">
        <f aca="false">A85+0.25</f>
        <v>21</v>
      </c>
      <c r="B86" s="18" t="n">
        <f aca="false">B85+0.25</f>
        <v>21</v>
      </c>
      <c r="C86" s="18" t="n">
        <v>60</v>
      </c>
      <c r="D86" s="18" t="n">
        <v>-28</v>
      </c>
      <c r="E86" s="18" t="n">
        <v>35</v>
      </c>
      <c r="F86" s="18" t="n">
        <f aca="false">E86*0.5144</f>
        <v>18.004</v>
      </c>
      <c r="G86" s="22" t="e">
        <f aca="false">arclethnm(C85,D85,C86,D86)/6</f>
        <v>#NAME?</v>
      </c>
      <c r="H86" s="22" t="e">
        <f aca="false">G86*0.5144</f>
        <v>#NAME?</v>
      </c>
      <c r="I86" s="18" t="n">
        <v>0</v>
      </c>
    </row>
    <row r="87" customFormat="false" ht="12.75" hidden="false" customHeight="false" outlineLevel="0" collapsed="false">
      <c r="A87" s="0"/>
      <c r="B87" s="0"/>
      <c r="C87" s="0"/>
      <c r="D87" s="0"/>
      <c r="E87" s="0"/>
      <c r="F87" s="0"/>
      <c r="G87" s="22"/>
      <c r="H87" s="22"/>
      <c r="I87" s="0"/>
    </row>
    <row r="88" customFormat="false" ht="12.75" hidden="false" customHeight="false" outlineLevel="0" collapsed="false">
      <c r="A88" s="0"/>
      <c r="B88" s="0"/>
      <c r="C88" s="0"/>
      <c r="D88" s="0"/>
      <c r="E88" s="0"/>
      <c r="F88" s="0"/>
      <c r="G88" s="22"/>
      <c r="H88" s="22"/>
      <c r="I88" s="0"/>
    </row>
    <row r="89" customFormat="false" ht="12.75" hidden="false" customHeight="false" outlineLevel="0" collapsed="false">
      <c r="A89" s="0"/>
      <c r="B89" s="18" t="n">
        <v>1902</v>
      </c>
      <c r="C89" s="0"/>
      <c r="D89" s="0"/>
      <c r="E89" s="0"/>
      <c r="F89" s="0"/>
      <c r="G89" s="22"/>
      <c r="H89" s="22"/>
      <c r="I89" s="0"/>
    </row>
    <row r="90" customFormat="false" ht="12.75" hidden="false" customHeight="false" outlineLevel="0" collapsed="false">
      <c r="A90" s="18" t="n">
        <v>1</v>
      </c>
      <c r="B90" s="18" t="n">
        <v>1</v>
      </c>
      <c r="C90" s="18" t="n">
        <v>17.2</v>
      </c>
      <c r="D90" s="18" t="n">
        <v>-92.1</v>
      </c>
      <c r="E90" s="18" t="n">
        <v>25</v>
      </c>
      <c r="F90" s="18" t="n">
        <f aca="false">E90*0.5144</f>
        <v>12.86</v>
      </c>
      <c r="G90" s="22"/>
      <c r="H90" s="22"/>
      <c r="I90" s="18" t="n">
        <v>0</v>
      </c>
    </row>
    <row r="91" customFormat="false" ht="12.75" hidden="false" customHeight="false" outlineLevel="0" collapsed="false">
      <c r="A91" s="18" t="n">
        <f aca="false">A90+0.25</f>
        <v>1.25</v>
      </c>
      <c r="B91" s="18" t="n">
        <f aca="false">B90+0.25</f>
        <v>1.25</v>
      </c>
      <c r="C91" s="18" t="n">
        <v>17.6</v>
      </c>
      <c r="D91" s="18" t="n">
        <v>-92.4</v>
      </c>
      <c r="E91" s="18" t="n">
        <v>25</v>
      </c>
      <c r="F91" s="18" t="n">
        <f aca="false">E91*0.5144</f>
        <v>12.86</v>
      </c>
      <c r="G91" s="22" t="e">
        <f aca="false">arclethnm(C90,D90,C91,D91)/6</f>
        <v>#NAME?</v>
      </c>
      <c r="H91" s="22" t="e">
        <f aca="false">G91*0.5144</f>
        <v>#NAME?</v>
      </c>
      <c r="I91" s="18" t="n">
        <v>0</v>
      </c>
    </row>
    <row r="92" customFormat="false" ht="12.75" hidden="false" customHeight="false" outlineLevel="0" collapsed="false">
      <c r="A92" s="18" t="n">
        <f aca="false">A91+0.25</f>
        <v>1.5</v>
      </c>
      <c r="B92" s="18" t="n">
        <f aca="false">B91+0.25</f>
        <v>1.5</v>
      </c>
      <c r="C92" s="18" t="n">
        <v>18</v>
      </c>
      <c r="D92" s="18" t="n">
        <v>-92.7</v>
      </c>
      <c r="E92" s="18" t="n">
        <v>25</v>
      </c>
      <c r="F92" s="18" t="n">
        <f aca="false">E92*0.5144</f>
        <v>12.86</v>
      </c>
      <c r="G92" s="22" t="e">
        <f aca="false">arclethnm(C91,D91,C92,D92)/6</f>
        <v>#NAME?</v>
      </c>
      <c r="H92" s="22" t="e">
        <f aca="false">G92*0.5144</f>
        <v>#NAME?</v>
      </c>
      <c r="I92" s="18" t="n">
        <v>0</v>
      </c>
    </row>
    <row r="93" customFormat="false" ht="12.75" hidden="false" customHeight="false" outlineLevel="0" collapsed="false">
      <c r="A93" s="18" t="n">
        <f aca="false">A92+0.25</f>
        <v>1.75</v>
      </c>
      <c r="B93" s="18" t="n">
        <f aca="false">B92+0.25</f>
        <v>1.75</v>
      </c>
      <c r="C93" s="18" t="n">
        <v>18.2</v>
      </c>
      <c r="D93" s="18" t="n">
        <v>-92.9</v>
      </c>
      <c r="E93" s="18" t="n">
        <v>25</v>
      </c>
      <c r="F93" s="18" t="n">
        <f aca="false">E93*0.5144</f>
        <v>12.86</v>
      </c>
      <c r="G93" s="22" t="e">
        <f aca="false">arclethnm(C92,D92,C93,D93)/6</f>
        <v>#NAME?</v>
      </c>
      <c r="H93" s="22" t="e">
        <f aca="false">G93*0.5144</f>
        <v>#NAME?</v>
      </c>
      <c r="I93" s="18" t="n">
        <v>0</v>
      </c>
    </row>
    <row r="94" customFormat="false" ht="12.75" hidden="false" customHeight="false" outlineLevel="0" collapsed="false">
      <c r="A94" s="18" t="n">
        <f aca="false">A93+0.25</f>
        <v>2</v>
      </c>
      <c r="B94" s="18" t="n">
        <f aca="false">B93+0.25</f>
        <v>2</v>
      </c>
      <c r="C94" s="18" t="n">
        <v>18.4</v>
      </c>
      <c r="D94" s="18" t="n">
        <v>-93</v>
      </c>
      <c r="E94" s="18" t="n">
        <v>30</v>
      </c>
      <c r="F94" s="18" t="n">
        <f aca="false">E94*0.5144</f>
        <v>15.432</v>
      </c>
      <c r="G94" s="22" t="e">
        <f aca="false">arclethnm(C93,D93,C94,D94)/6</f>
        <v>#NAME?</v>
      </c>
      <c r="H94" s="22" t="e">
        <f aca="false">G94*0.5144</f>
        <v>#NAME?</v>
      </c>
      <c r="I94" s="18" t="n">
        <v>0</v>
      </c>
    </row>
    <row r="95" customFormat="false" ht="12.75" hidden="false" customHeight="false" outlineLevel="0" collapsed="false">
      <c r="A95" s="18" t="n">
        <f aca="false">A94+0.25</f>
        <v>2.25</v>
      </c>
      <c r="B95" s="18" t="n">
        <f aca="false">B94+0.25</f>
        <v>2.25</v>
      </c>
      <c r="C95" s="18" t="n">
        <v>18.7</v>
      </c>
      <c r="D95" s="18" t="n">
        <v>-93.2</v>
      </c>
      <c r="E95" s="18" t="n">
        <v>30</v>
      </c>
      <c r="F95" s="18" t="n">
        <f aca="false">E95*0.5144</f>
        <v>15.432</v>
      </c>
      <c r="G95" s="22" t="e">
        <f aca="false">arclethnm(C94,D94,C95,D95)/6</f>
        <v>#NAME?</v>
      </c>
      <c r="H95" s="22" t="e">
        <f aca="false">G95*0.5144</f>
        <v>#NAME?</v>
      </c>
      <c r="I95" s="18" t="n">
        <v>0</v>
      </c>
    </row>
    <row r="96" customFormat="false" ht="12.75" hidden="false" customHeight="false" outlineLevel="0" collapsed="false">
      <c r="A96" s="18" t="n">
        <f aca="false">A95+0.25</f>
        <v>2.5</v>
      </c>
      <c r="B96" s="18" t="n">
        <f aca="false">B95+0.25</f>
        <v>2.5</v>
      </c>
      <c r="C96" s="18" t="n">
        <v>19</v>
      </c>
      <c r="D96" s="18" t="n">
        <v>-93.5</v>
      </c>
      <c r="E96" s="18" t="n">
        <v>30</v>
      </c>
      <c r="F96" s="18" t="n">
        <f aca="false">E96*0.5144</f>
        <v>15.432</v>
      </c>
      <c r="G96" s="22" t="e">
        <f aca="false">arclethnm(C95,D95,C96,D96)/6</f>
        <v>#NAME?</v>
      </c>
      <c r="H96" s="22" t="e">
        <f aca="false">G96*0.5144</f>
        <v>#NAME?</v>
      </c>
      <c r="I96" s="18" t="n">
        <v>0</v>
      </c>
    </row>
    <row r="97" customFormat="false" ht="12.75" hidden="false" customHeight="false" outlineLevel="0" collapsed="false">
      <c r="A97" s="18" t="n">
        <f aca="false">A96+0.25</f>
        <v>2.75</v>
      </c>
      <c r="B97" s="18" t="n">
        <f aca="false">B96+0.25</f>
        <v>2.75</v>
      </c>
      <c r="C97" s="18" t="n">
        <v>19.2</v>
      </c>
      <c r="D97" s="18" t="n">
        <v>-93.7</v>
      </c>
      <c r="E97" s="18" t="n">
        <v>30</v>
      </c>
      <c r="F97" s="18" t="n">
        <f aca="false">E97*0.5144</f>
        <v>15.432</v>
      </c>
      <c r="G97" s="22" t="e">
        <f aca="false">arclethnm(C96,D96,C97,D97)/6</f>
        <v>#NAME?</v>
      </c>
      <c r="H97" s="22" t="e">
        <f aca="false">G97*0.5144</f>
        <v>#NAME?</v>
      </c>
      <c r="I97" s="18" t="n">
        <v>0</v>
      </c>
    </row>
    <row r="98" customFormat="false" ht="12.75" hidden="false" customHeight="false" outlineLevel="0" collapsed="false">
      <c r="A98" s="18" t="n">
        <f aca="false">A97+0.25</f>
        <v>3</v>
      </c>
      <c r="B98" s="18" t="n">
        <f aca="false">B97+0.25</f>
        <v>3</v>
      </c>
      <c r="C98" s="18" t="n">
        <v>19.5</v>
      </c>
      <c r="D98" s="18" t="n">
        <v>-93.9</v>
      </c>
      <c r="E98" s="18" t="n">
        <v>30</v>
      </c>
      <c r="F98" s="18" t="n">
        <f aca="false">E98*0.5144</f>
        <v>15.432</v>
      </c>
      <c r="G98" s="22" t="e">
        <f aca="false">arclethnm(C97,D97,C98,D98)/6</f>
        <v>#NAME?</v>
      </c>
      <c r="H98" s="22" t="e">
        <f aca="false">G98*0.5144</f>
        <v>#NAME?</v>
      </c>
      <c r="I98" s="18" t="n">
        <v>0</v>
      </c>
    </row>
    <row r="99" customFormat="false" ht="12.75" hidden="false" customHeight="false" outlineLevel="0" collapsed="false">
      <c r="A99" s="18" t="n">
        <f aca="false">A98+0.25</f>
        <v>3.25</v>
      </c>
      <c r="B99" s="18" t="n">
        <f aca="false">B98+0.25</f>
        <v>3.25</v>
      </c>
      <c r="C99" s="18" t="n">
        <v>19.7</v>
      </c>
      <c r="D99" s="18" t="n">
        <v>-94.1</v>
      </c>
      <c r="E99" s="18" t="n">
        <v>30</v>
      </c>
      <c r="F99" s="18" t="n">
        <f aca="false">E99*0.5144</f>
        <v>15.432</v>
      </c>
      <c r="G99" s="22" t="e">
        <f aca="false">arclethnm(C98,D98,C99,D99)/6</f>
        <v>#NAME?</v>
      </c>
      <c r="H99" s="22" t="e">
        <f aca="false">G99*0.5144</f>
        <v>#NAME?</v>
      </c>
      <c r="I99" s="18" t="n">
        <v>0</v>
      </c>
    </row>
    <row r="100" customFormat="false" ht="12.75" hidden="false" customHeight="false" outlineLevel="0" collapsed="false">
      <c r="A100" s="18" t="n">
        <f aca="false">A99+0.25</f>
        <v>3.5</v>
      </c>
      <c r="B100" s="18" t="n">
        <f aca="false">B99+0.25</f>
        <v>3.5</v>
      </c>
      <c r="C100" s="18" t="n">
        <v>20</v>
      </c>
      <c r="D100" s="18" t="n">
        <v>-94.3</v>
      </c>
      <c r="E100" s="18" t="n">
        <v>30</v>
      </c>
      <c r="F100" s="18" t="n">
        <f aca="false">E100*0.5144</f>
        <v>15.432</v>
      </c>
      <c r="G100" s="22" t="e">
        <f aca="false">arclethnm(C99,D99,C100,D100)/6</f>
        <v>#NAME?</v>
      </c>
      <c r="H100" s="22" t="e">
        <f aca="false">G100*0.5144</f>
        <v>#NAME?</v>
      </c>
      <c r="I100" s="18" t="n">
        <v>0</v>
      </c>
    </row>
    <row r="101" customFormat="false" ht="12.75" hidden="false" customHeight="false" outlineLevel="0" collapsed="false">
      <c r="A101" s="18" t="n">
        <f aca="false">A100+0.25</f>
        <v>3.75</v>
      </c>
      <c r="B101" s="18" t="n">
        <f aca="false">B100+0.25</f>
        <v>3.75</v>
      </c>
      <c r="C101" s="18" t="n">
        <v>20.3</v>
      </c>
      <c r="D101" s="18" t="n">
        <v>-94.5</v>
      </c>
      <c r="E101" s="18" t="n">
        <v>30</v>
      </c>
      <c r="F101" s="18" t="n">
        <f aca="false">E101*0.5144</f>
        <v>15.432</v>
      </c>
      <c r="G101" s="22" t="e">
        <f aca="false">arclethnm(C100,D100,C101,D101)/6</f>
        <v>#NAME?</v>
      </c>
      <c r="H101" s="22" t="e">
        <f aca="false">G101*0.5144</f>
        <v>#NAME?</v>
      </c>
      <c r="I101" s="18" t="n">
        <v>0</v>
      </c>
    </row>
    <row r="102" customFormat="false" ht="12.75" hidden="false" customHeight="false" outlineLevel="0" collapsed="false">
      <c r="A102" s="18" t="n">
        <f aca="false">A101+0.25</f>
        <v>4</v>
      </c>
      <c r="B102" s="18" t="n">
        <f aca="false">B101+0.25</f>
        <v>4</v>
      </c>
      <c r="C102" s="18" t="n">
        <v>20.5</v>
      </c>
      <c r="D102" s="18" t="n">
        <v>-94.6</v>
      </c>
      <c r="E102" s="18" t="n">
        <v>30</v>
      </c>
      <c r="F102" s="18" t="n">
        <f aca="false">E102*0.5144</f>
        <v>15.432</v>
      </c>
      <c r="G102" s="22" t="e">
        <f aca="false">arclethnm(C101,D101,C102,D102)/6</f>
        <v>#NAME?</v>
      </c>
      <c r="H102" s="22" t="e">
        <f aca="false">G102*0.5144</f>
        <v>#NAME?</v>
      </c>
      <c r="I102" s="18" t="n">
        <v>0</v>
      </c>
    </row>
    <row r="103" customFormat="false" ht="12.75" hidden="false" customHeight="false" outlineLevel="0" collapsed="false">
      <c r="A103" s="18" t="n">
        <f aca="false">A102+0.25</f>
        <v>4.25</v>
      </c>
      <c r="B103" s="18" t="n">
        <f aca="false">B102+0.25</f>
        <v>4.25</v>
      </c>
      <c r="C103" s="18" t="n">
        <v>20.7</v>
      </c>
      <c r="D103" s="18" t="n">
        <v>-94.8</v>
      </c>
      <c r="E103" s="18" t="n">
        <v>30</v>
      </c>
      <c r="F103" s="18" t="n">
        <f aca="false">E103*0.5144</f>
        <v>15.432</v>
      </c>
      <c r="G103" s="22" t="e">
        <f aca="false">arclethnm(C102,D102,C103,D103)/6</f>
        <v>#NAME?</v>
      </c>
      <c r="H103" s="22" t="e">
        <f aca="false">G103*0.5144</f>
        <v>#NAME?</v>
      </c>
      <c r="I103" s="18" t="n">
        <v>0</v>
      </c>
    </row>
    <row r="104" customFormat="false" ht="12.75" hidden="false" customHeight="false" outlineLevel="0" collapsed="false">
      <c r="A104" s="18" t="n">
        <f aca="false">A103+0.25</f>
        <v>4.5</v>
      </c>
      <c r="B104" s="18" t="n">
        <f aca="false">B103+0.25</f>
        <v>4.5</v>
      </c>
      <c r="C104" s="18" t="n">
        <v>21</v>
      </c>
      <c r="D104" s="18" t="n">
        <v>-95</v>
      </c>
      <c r="E104" s="18" t="n">
        <v>35</v>
      </c>
      <c r="F104" s="18" t="n">
        <f aca="false">E104*0.5144</f>
        <v>18.004</v>
      </c>
      <c r="G104" s="22" t="e">
        <f aca="false">arclethnm(C103,D103,C104,D104)/6</f>
        <v>#NAME?</v>
      </c>
      <c r="H104" s="22" t="e">
        <f aca="false">G104*0.5144</f>
        <v>#NAME?</v>
      </c>
      <c r="I104" s="18" t="n">
        <v>0</v>
      </c>
    </row>
    <row r="105" customFormat="false" ht="12.75" hidden="false" customHeight="false" outlineLevel="0" collapsed="false">
      <c r="A105" s="18" t="n">
        <f aca="false">A104+0.25</f>
        <v>4.75</v>
      </c>
      <c r="B105" s="18" t="n">
        <f aca="false">B104+0.25</f>
        <v>4.75</v>
      </c>
      <c r="C105" s="18" t="n">
        <v>21.5</v>
      </c>
      <c r="D105" s="18" t="n">
        <v>-95.3</v>
      </c>
      <c r="E105" s="18" t="n">
        <v>40</v>
      </c>
      <c r="F105" s="18" t="n">
        <f aca="false">E105*0.5144</f>
        <v>20.576</v>
      </c>
      <c r="G105" s="22" t="e">
        <f aca="false">arclethnm(C104,D104,C105,D105)/6</f>
        <v>#NAME?</v>
      </c>
      <c r="H105" s="22" t="e">
        <f aca="false">G105*0.5144</f>
        <v>#NAME?</v>
      </c>
      <c r="I105" s="18" t="n">
        <v>0</v>
      </c>
    </row>
    <row r="106" customFormat="false" ht="12.75" hidden="false" customHeight="false" outlineLevel="0" collapsed="false">
      <c r="A106" s="18" t="n">
        <f aca="false">A105+0.25</f>
        <v>5</v>
      </c>
      <c r="B106" s="18" t="n">
        <f aca="false">B105+0.25</f>
        <v>5</v>
      </c>
      <c r="C106" s="18" t="n">
        <v>22.1</v>
      </c>
      <c r="D106" s="18" t="n">
        <v>-95.6</v>
      </c>
      <c r="E106" s="18" t="n">
        <v>45</v>
      </c>
      <c r="F106" s="18" t="n">
        <f aca="false">E106*0.5144</f>
        <v>23.148</v>
      </c>
      <c r="G106" s="22" t="e">
        <f aca="false">arclethnm(C105,D105,C106,D106)/6</f>
        <v>#NAME?</v>
      </c>
      <c r="H106" s="22" t="e">
        <f aca="false">G106*0.5144</f>
        <v>#NAME?</v>
      </c>
      <c r="I106" s="18" t="n">
        <v>0</v>
      </c>
    </row>
    <row r="107" customFormat="false" ht="12.75" hidden="false" customHeight="false" outlineLevel="0" collapsed="false">
      <c r="A107" s="18" t="n">
        <f aca="false">A106+0.25</f>
        <v>5.25</v>
      </c>
      <c r="B107" s="18" t="n">
        <f aca="false">B106+0.25</f>
        <v>5.25</v>
      </c>
      <c r="C107" s="18" t="n">
        <v>22.7</v>
      </c>
      <c r="D107" s="18" t="n">
        <v>-96</v>
      </c>
      <c r="E107" s="18" t="n">
        <v>50</v>
      </c>
      <c r="F107" s="18" t="n">
        <f aca="false">E107*0.5144</f>
        <v>25.72</v>
      </c>
      <c r="G107" s="22" t="e">
        <f aca="false">arclethnm(C106,D106,C107,D107)/6</f>
        <v>#NAME?</v>
      </c>
      <c r="H107" s="22" t="e">
        <f aca="false">G107*0.5144</f>
        <v>#NAME?</v>
      </c>
      <c r="I107" s="18" t="n">
        <v>0</v>
      </c>
    </row>
    <row r="108" customFormat="false" ht="12.75" hidden="false" customHeight="false" outlineLevel="0" collapsed="false">
      <c r="A108" s="18" t="n">
        <f aca="false">A107+0.25</f>
        <v>5.5</v>
      </c>
      <c r="B108" s="18" t="n">
        <f aca="false">B107+0.25</f>
        <v>5.5</v>
      </c>
      <c r="C108" s="18" t="n">
        <v>23.3</v>
      </c>
      <c r="D108" s="18" t="n">
        <v>-96.3</v>
      </c>
      <c r="E108" s="18" t="n">
        <v>55</v>
      </c>
      <c r="F108" s="18" t="n">
        <f aca="false">E108*0.5144</f>
        <v>28.292</v>
      </c>
      <c r="G108" s="22" t="e">
        <f aca="false">arclethnm(C107,D107,C108,D108)/6</f>
        <v>#NAME?</v>
      </c>
      <c r="H108" s="22" t="e">
        <f aca="false">G108*0.5144</f>
        <v>#NAME?</v>
      </c>
      <c r="I108" s="18" t="n">
        <v>0</v>
      </c>
    </row>
    <row r="109" customFormat="false" ht="12.75" hidden="false" customHeight="false" outlineLevel="0" collapsed="false">
      <c r="A109" s="18" t="n">
        <f aca="false">A108+0.25</f>
        <v>5.75</v>
      </c>
      <c r="B109" s="18" t="n">
        <f aca="false">B108+0.25</f>
        <v>5.75</v>
      </c>
      <c r="C109" s="18" t="n">
        <v>23.9</v>
      </c>
      <c r="D109" s="18" t="n">
        <v>-96.6</v>
      </c>
      <c r="E109" s="18" t="n">
        <v>60</v>
      </c>
      <c r="F109" s="18" t="n">
        <f aca="false">E109*0.5144</f>
        <v>30.864</v>
      </c>
      <c r="G109" s="22" t="e">
        <f aca="false">arclethnm(C108,D108,C109,D109)/6</f>
        <v>#NAME?</v>
      </c>
      <c r="H109" s="22" t="e">
        <f aca="false">G109*0.5144</f>
        <v>#NAME?</v>
      </c>
      <c r="I109" s="18" t="n">
        <v>0</v>
      </c>
    </row>
    <row r="110" customFormat="false" ht="12.75" hidden="false" customHeight="false" outlineLevel="0" collapsed="false">
      <c r="A110" s="18" t="n">
        <f aca="false">A109+0.25</f>
        <v>6</v>
      </c>
      <c r="B110" s="18" t="n">
        <f aca="false">B109+0.25</f>
        <v>6</v>
      </c>
      <c r="C110" s="18" t="n">
        <v>24.7</v>
      </c>
      <c r="D110" s="18" t="n">
        <v>-96.8</v>
      </c>
      <c r="E110" s="18" t="n">
        <v>65</v>
      </c>
      <c r="F110" s="18" t="n">
        <f aca="false">E110*0.5144</f>
        <v>33.436</v>
      </c>
      <c r="G110" s="22" t="e">
        <f aca="false">arclethnm(C109,D109,C110,D110)/6</f>
        <v>#NAME?</v>
      </c>
      <c r="H110" s="22" t="e">
        <f aca="false">G110*0.5144</f>
        <v>#NAME?</v>
      </c>
      <c r="I110" s="18" t="n">
        <v>0</v>
      </c>
    </row>
    <row r="111" customFormat="false" ht="12.75" hidden="false" customHeight="false" outlineLevel="0" collapsed="false">
      <c r="A111" s="18" t="n">
        <f aca="false">A110+0.25</f>
        <v>6.25</v>
      </c>
      <c r="B111" s="18" t="n">
        <f aca="false">B110+0.25</f>
        <v>6.25</v>
      </c>
      <c r="C111" s="18" t="n">
        <v>25.5</v>
      </c>
      <c r="D111" s="18" t="n">
        <v>-96.9</v>
      </c>
      <c r="E111" s="18" t="n">
        <v>70</v>
      </c>
      <c r="F111" s="18" t="n">
        <f aca="false">E111*0.5144</f>
        <v>36.008</v>
      </c>
      <c r="G111" s="22" t="e">
        <f aca="false">arclethnm(C110,D110,C111,D111)/6</f>
        <v>#NAME?</v>
      </c>
      <c r="H111" s="22" t="e">
        <f aca="false">G111*0.5144</f>
        <v>#NAME?</v>
      </c>
      <c r="I111" s="18" t="n">
        <v>0</v>
      </c>
    </row>
    <row r="112" customFormat="false" ht="12.75" hidden="false" customHeight="false" outlineLevel="0" collapsed="false">
      <c r="A112" s="18" t="n">
        <f aca="false">A111+0.25</f>
        <v>6.5</v>
      </c>
      <c r="B112" s="18" t="n">
        <f aca="false">B111+0.25</f>
        <v>6.5</v>
      </c>
      <c r="C112" s="18" t="n">
        <v>26.4</v>
      </c>
      <c r="D112" s="18" t="n">
        <v>-97</v>
      </c>
      <c r="E112" s="18" t="n">
        <v>65</v>
      </c>
      <c r="F112" s="18" t="n">
        <f aca="false">E112*0.5144</f>
        <v>33.436</v>
      </c>
      <c r="G112" s="22" t="e">
        <f aca="false">arclethnm(C111,D111,C112,D112)/6</f>
        <v>#NAME?</v>
      </c>
      <c r="H112" s="22" t="e">
        <f aca="false">G112*0.5144</f>
        <v>#NAME?</v>
      </c>
      <c r="I112" s="18" t="n">
        <v>0</v>
      </c>
    </row>
    <row r="113" customFormat="false" ht="12.75" hidden="false" customHeight="false" outlineLevel="0" collapsed="false">
      <c r="A113" s="18" t="n">
        <f aca="false">A112+0.25</f>
        <v>6.75</v>
      </c>
      <c r="B113" s="18" t="n">
        <f aca="false">B112+0.25</f>
        <v>6.75</v>
      </c>
      <c r="C113" s="18" t="n">
        <v>27.2</v>
      </c>
      <c r="D113" s="18" t="n">
        <v>-97.1</v>
      </c>
      <c r="E113" s="18" t="n">
        <v>60</v>
      </c>
      <c r="F113" s="18" t="n">
        <f aca="false">E113*0.5144</f>
        <v>30.864</v>
      </c>
      <c r="G113" s="22" t="e">
        <f aca="false">arclethnm(C112,D112,C113,D113)/6</f>
        <v>#NAME?</v>
      </c>
      <c r="H113" s="22" t="e">
        <f aca="false">G113*0.5144</f>
        <v>#NAME?</v>
      </c>
      <c r="I113" s="18" t="n">
        <v>0</v>
      </c>
    </row>
    <row r="114" customFormat="false" ht="12.75" hidden="false" customHeight="false" outlineLevel="0" collapsed="false">
      <c r="A114" s="18" t="n">
        <f aca="false">A113+0.25</f>
        <v>7</v>
      </c>
      <c r="B114" s="18" t="n">
        <f aca="false">B113+0.25</f>
        <v>7</v>
      </c>
      <c r="C114" s="18" t="n">
        <v>27.7</v>
      </c>
      <c r="D114" s="18" t="n">
        <v>-97.2</v>
      </c>
      <c r="E114" s="18" t="n">
        <v>60</v>
      </c>
      <c r="F114" s="18" t="n">
        <f aca="false">E114*0.5144</f>
        <v>30.864</v>
      </c>
      <c r="G114" s="22" t="e">
        <f aca="false">arclethnm(C113,D113,C114,D114)/6</f>
        <v>#NAME?</v>
      </c>
      <c r="H114" s="22" t="e">
        <f aca="false">G114*0.5144</f>
        <v>#NAME?</v>
      </c>
      <c r="I114" s="18" t="n">
        <v>0</v>
      </c>
    </row>
    <row r="115" customFormat="false" ht="12.75" hidden="false" customHeight="false" outlineLevel="0" collapsed="false">
      <c r="A115" s="18" t="n">
        <f aca="false">A114+0.25</f>
        <v>7.25</v>
      </c>
      <c r="B115" s="18" t="n">
        <f aca="false">B114+0.25</f>
        <v>7.25</v>
      </c>
      <c r="C115" s="18" t="n">
        <v>28.1</v>
      </c>
      <c r="D115" s="18" t="n">
        <v>-97.2</v>
      </c>
      <c r="E115" s="18" t="n">
        <v>50</v>
      </c>
      <c r="F115" s="18" t="n">
        <f aca="false">E115*0.5144</f>
        <v>25.72</v>
      </c>
      <c r="G115" s="22" t="e">
        <f aca="false">arclethnm(C114,D114,C115,D115)/6</f>
        <v>#NAME?</v>
      </c>
      <c r="H115" s="22" t="e">
        <f aca="false">G115*0.5144</f>
        <v>#NAME?</v>
      </c>
      <c r="I115" s="18" t="n">
        <v>0</v>
      </c>
    </row>
    <row r="116" customFormat="false" ht="12.75" hidden="false" customHeight="false" outlineLevel="0" collapsed="false">
      <c r="A116" s="18" t="n">
        <f aca="false">A115+0.25</f>
        <v>7.5</v>
      </c>
      <c r="B116" s="18" t="n">
        <f aca="false">B115+0.25</f>
        <v>7.5</v>
      </c>
      <c r="C116" s="18" t="n">
        <v>29</v>
      </c>
      <c r="D116" s="18" t="n">
        <v>-97.3</v>
      </c>
      <c r="E116" s="18" t="n">
        <v>45</v>
      </c>
      <c r="F116" s="18" t="n">
        <f aca="false">E116*0.5144</f>
        <v>23.148</v>
      </c>
      <c r="G116" s="22" t="e">
        <f aca="false">arclethnm(C115,D115,C116,D116)/6</f>
        <v>#NAME?</v>
      </c>
      <c r="H116" s="22" t="e">
        <f aca="false">G116*0.5144</f>
        <v>#NAME?</v>
      </c>
      <c r="I116" s="18" t="n">
        <v>0</v>
      </c>
    </row>
    <row r="117" customFormat="false" ht="12.75" hidden="false" customHeight="false" outlineLevel="0" collapsed="false">
      <c r="A117" s="18" t="n">
        <f aca="false">A116+0.25</f>
        <v>7.75</v>
      </c>
      <c r="B117" s="18" t="n">
        <f aca="false">B116+0.25</f>
        <v>7.75</v>
      </c>
      <c r="C117" s="18" t="n">
        <v>30</v>
      </c>
      <c r="D117" s="18" t="n">
        <v>-97.4</v>
      </c>
      <c r="E117" s="18" t="n">
        <v>40</v>
      </c>
      <c r="F117" s="18" t="n">
        <f aca="false">E117*0.5144</f>
        <v>20.576</v>
      </c>
      <c r="G117" s="22" t="e">
        <f aca="false">arclethnm(C116,D116,C117,D117)/6</f>
        <v>#NAME?</v>
      </c>
      <c r="H117" s="22" t="e">
        <f aca="false">G117*0.5144</f>
        <v>#NAME?</v>
      </c>
      <c r="I117" s="18" t="n">
        <v>0</v>
      </c>
    </row>
    <row r="118" customFormat="false" ht="12.75" hidden="false" customHeight="false" outlineLevel="0" collapsed="false">
      <c r="A118" s="18" t="n">
        <f aca="false">A117+0.25</f>
        <v>8</v>
      </c>
      <c r="B118" s="18" t="n">
        <f aca="false">B117+0.25</f>
        <v>8</v>
      </c>
      <c r="C118" s="18" t="n">
        <v>31.5</v>
      </c>
      <c r="D118" s="18" t="n">
        <v>-97.2</v>
      </c>
      <c r="E118" s="18" t="n">
        <v>35</v>
      </c>
      <c r="F118" s="18" t="n">
        <f aca="false">E118*0.5144</f>
        <v>18.004</v>
      </c>
      <c r="G118" s="22" t="e">
        <f aca="false">arclethnm(C117,D117,C118,D118)/6</f>
        <v>#NAME?</v>
      </c>
      <c r="H118" s="22" t="e">
        <f aca="false">G118*0.5144</f>
        <v>#NAME?</v>
      </c>
      <c r="I118" s="18" t="n">
        <v>0</v>
      </c>
    </row>
    <row r="119" customFormat="false" ht="12.75" hidden="false" customHeight="false" outlineLevel="0" collapsed="false">
      <c r="A119" s="18" t="n">
        <f aca="false">A118+0.25</f>
        <v>8.25</v>
      </c>
      <c r="B119" s="18" t="n">
        <f aca="false">B118+0.25</f>
        <v>8.25</v>
      </c>
      <c r="C119" s="18" t="n">
        <v>32.8</v>
      </c>
      <c r="D119" s="18" t="n">
        <v>-96.6</v>
      </c>
      <c r="E119" s="18" t="n">
        <v>35</v>
      </c>
      <c r="F119" s="18" t="n">
        <f aca="false">E119*0.5144</f>
        <v>18.004</v>
      </c>
      <c r="G119" s="22" t="e">
        <f aca="false">arclethnm(C118,D118,C119,D119)/6</f>
        <v>#NAME?</v>
      </c>
      <c r="H119" s="22" t="e">
        <f aca="false">G119*0.5144</f>
        <v>#NAME?</v>
      </c>
      <c r="I119" s="18" t="n">
        <v>0</v>
      </c>
    </row>
    <row r="120" customFormat="false" ht="12.75" hidden="false" customHeight="false" outlineLevel="0" collapsed="false">
      <c r="A120" s="18" t="n">
        <f aca="false">A119+0.25</f>
        <v>8.5</v>
      </c>
      <c r="B120" s="18" t="n">
        <f aca="false">B119+0.25</f>
        <v>8.5</v>
      </c>
      <c r="C120" s="18" t="n">
        <v>34.2</v>
      </c>
      <c r="D120" s="18" t="n">
        <v>-95.9</v>
      </c>
      <c r="E120" s="18" t="n">
        <v>35</v>
      </c>
      <c r="F120" s="18" t="n">
        <f aca="false">E120*0.5144</f>
        <v>18.004</v>
      </c>
      <c r="G120" s="22" t="e">
        <f aca="false">arclethnm(C119,D119,C120,D120)/6</f>
        <v>#NAME?</v>
      </c>
      <c r="H120" s="22" t="e">
        <f aca="false">G120*0.5144</f>
        <v>#NAME?</v>
      </c>
      <c r="I120" s="18" t="n">
        <v>0</v>
      </c>
    </row>
    <row r="121" customFormat="false" ht="12.75" hidden="false" customHeight="false" outlineLevel="0" collapsed="false">
      <c r="A121" s="18" t="n">
        <f aca="false">A120+0.25</f>
        <v>8.75</v>
      </c>
      <c r="B121" s="18" t="n">
        <f aca="false">B120+0.25</f>
        <v>8.75</v>
      </c>
      <c r="C121" s="18" t="n">
        <v>35.8</v>
      </c>
      <c r="D121" s="18" t="n">
        <v>-94.5</v>
      </c>
      <c r="E121" s="18" t="n">
        <v>35</v>
      </c>
      <c r="F121" s="18" t="n">
        <f aca="false">E121*0.5144</f>
        <v>18.004</v>
      </c>
      <c r="G121" s="22" t="e">
        <f aca="false">arclethnm(C120,D120,C121,D121)/6</f>
        <v>#NAME?</v>
      </c>
      <c r="H121" s="22" t="e">
        <f aca="false">G121*0.5144</f>
        <v>#NAME?</v>
      </c>
      <c r="I121" s="18" t="n">
        <v>0</v>
      </c>
    </row>
    <row r="122" customFormat="false" ht="12.75" hidden="false" customHeight="false" outlineLevel="0" collapsed="false">
      <c r="A122" s="18" t="n">
        <f aca="false">A121+0.25</f>
        <v>9</v>
      </c>
      <c r="B122" s="18" t="n">
        <f aca="false">B121+0.25</f>
        <v>9</v>
      </c>
      <c r="C122" s="18" t="n">
        <v>37.6</v>
      </c>
      <c r="D122" s="18" t="n">
        <v>-92.3</v>
      </c>
      <c r="E122" s="18" t="n">
        <v>35</v>
      </c>
      <c r="F122" s="18" t="n">
        <f aca="false">E122*0.5144</f>
        <v>18.004</v>
      </c>
      <c r="G122" s="22" t="e">
        <f aca="false">arclethnm(C121,D121,C122,D122)/6</f>
        <v>#NAME?</v>
      </c>
      <c r="H122" s="22" t="e">
        <f aca="false">G122*0.5144</f>
        <v>#NAME?</v>
      </c>
      <c r="I122" s="18" t="n">
        <v>0</v>
      </c>
    </row>
    <row r="123" customFormat="false" ht="12.75" hidden="false" customHeight="false" outlineLevel="0" collapsed="false">
      <c r="A123" s="18" t="n">
        <f aca="false">A122+0.25</f>
        <v>9.25</v>
      </c>
      <c r="B123" s="18" t="n">
        <f aca="false">B122+0.25</f>
        <v>9.25</v>
      </c>
      <c r="C123" s="18" t="n">
        <v>39.5</v>
      </c>
      <c r="D123" s="18" t="n">
        <v>-88.6</v>
      </c>
      <c r="E123" s="18" t="n">
        <v>35</v>
      </c>
      <c r="F123" s="18" t="n">
        <f aca="false">E123*0.5144</f>
        <v>18.004</v>
      </c>
      <c r="G123" s="22" t="e">
        <f aca="false">arclethnm(C122,D122,C123,D123)/6</f>
        <v>#NAME?</v>
      </c>
      <c r="H123" s="22" t="e">
        <f aca="false">G123*0.5144</f>
        <v>#NAME?</v>
      </c>
      <c r="I123" s="18" t="n">
        <v>0</v>
      </c>
    </row>
    <row r="124" customFormat="false" ht="12.75" hidden="false" customHeight="false" outlineLevel="0" collapsed="false">
      <c r="A124" s="18" t="n">
        <f aca="false">A123+0.25</f>
        <v>9.5</v>
      </c>
      <c r="B124" s="18" t="n">
        <f aca="false">B123+0.25</f>
        <v>9.5</v>
      </c>
      <c r="C124" s="18" t="n">
        <v>40.6</v>
      </c>
      <c r="D124" s="18" t="n">
        <v>-85.4</v>
      </c>
      <c r="E124" s="18" t="n">
        <v>35</v>
      </c>
      <c r="F124" s="18" t="n">
        <f aca="false">E124*0.5144</f>
        <v>18.004</v>
      </c>
      <c r="G124" s="22" t="e">
        <f aca="false">arclethnm(C123,D123,C124,D124)/6</f>
        <v>#NAME?</v>
      </c>
      <c r="H124" s="22" t="e">
        <f aca="false">G124*0.5144</f>
        <v>#NAME?</v>
      </c>
      <c r="I124" s="18" t="n">
        <v>0</v>
      </c>
    </row>
    <row r="125" customFormat="false" ht="12.75" hidden="false" customHeight="false" outlineLevel="0" collapsed="false">
      <c r="A125" s="18" t="n">
        <f aca="false">A124+0.25</f>
        <v>9.75</v>
      </c>
      <c r="B125" s="18" t="n">
        <f aca="false">B124+0.25</f>
        <v>9.75</v>
      </c>
      <c r="C125" s="18" t="n">
        <v>41.5</v>
      </c>
      <c r="D125" s="18" t="n">
        <v>-82</v>
      </c>
      <c r="E125" s="18" t="n">
        <v>35</v>
      </c>
      <c r="F125" s="18" t="n">
        <f aca="false">E125*0.5144</f>
        <v>18.004</v>
      </c>
      <c r="G125" s="22" t="e">
        <f aca="false">arclethnm(C124,D124,C125,D125)/6</f>
        <v>#NAME?</v>
      </c>
      <c r="H125" s="22" t="e">
        <f aca="false">G125*0.5144</f>
        <v>#NAME?</v>
      </c>
      <c r="I125" s="18" t="n">
        <v>0</v>
      </c>
    </row>
    <row r="126" customFormat="false" ht="12.75" hidden="false" customHeight="false" outlineLevel="0" collapsed="false">
      <c r="A126" s="18" t="n">
        <f aca="false">A125+0.25</f>
        <v>10</v>
      </c>
      <c r="B126" s="18" t="n">
        <f aca="false">B125+0.25</f>
        <v>10</v>
      </c>
      <c r="C126" s="18" t="n">
        <v>41.8</v>
      </c>
      <c r="D126" s="18" t="n">
        <v>-78.6</v>
      </c>
      <c r="E126" s="18" t="n">
        <v>35</v>
      </c>
      <c r="F126" s="18" t="n">
        <f aca="false">E126*0.5144</f>
        <v>18.004</v>
      </c>
      <c r="G126" s="22" t="e">
        <f aca="false">arclethnm(C125,D125,C126,D126)/6</f>
        <v>#NAME?</v>
      </c>
      <c r="H126" s="22" t="e">
        <f aca="false">G126*0.5144</f>
        <v>#NAME?</v>
      </c>
      <c r="I126" s="18" t="n">
        <v>0</v>
      </c>
    </row>
    <row r="127" customFormat="false" ht="12.75" hidden="false" customHeight="false" outlineLevel="0" collapsed="false">
      <c r="A127" s="0"/>
      <c r="B127" s="0"/>
      <c r="C127" s="0"/>
      <c r="D127" s="0"/>
      <c r="E127" s="0"/>
      <c r="F127" s="0"/>
      <c r="G127" s="22"/>
      <c r="H127" s="22"/>
      <c r="I127" s="0"/>
    </row>
    <row r="128" customFormat="false" ht="12.75" hidden="false" customHeight="false" outlineLevel="0" collapsed="false">
      <c r="A128" s="0"/>
      <c r="B128" s="0"/>
      <c r="C128" s="0"/>
      <c r="D128" s="0"/>
      <c r="E128" s="0"/>
      <c r="F128" s="0"/>
      <c r="G128" s="22"/>
      <c r="H128" s="22"/>
      <c r="I128" s="0"/>
    </row>
    <row r="129" customFormat="false" ht="12.75" hidden="false" customHeight="false" outlineLevel="0" collapsed="false">
      <c r="A129" s="0"/>
      <c r="B129" s="18" t="n">
        <v>1909</v>
      </c>
      <c r="C129" s="0"/>
      <c r="D129" s="0"/>
      <c r="E129" s="0"/>
      <c r="F129" s="0"/>
      <c r="G129" s="22"/>
      <c r="H129" s="22"/>
      <c r="I129" s="0"/>
    </row>
    <row r="130" customFormat="false" ht="12.75" hidden="false" customHeight="false" outlineLevel="0" collapsed="false">
      <c r="A130" s="18" t="n">
        <f aca="false">B130-0.5</f>
        <v>1</v>
      </c>
      <c r="B130" s="18" t="n">
        <v>1.5</v>
      </c>
      <c r="C130" s="18" t="n">
        <v>25</v>
      </c>
      <c r="D130" s="18" t="n">
        <v>-84</v>
      </c>
      <c r="E130" s="18" t="n">
        <v>35</v>
      </c>
      <c r="F130" s="18" t="n">
        <f aca="false">E130*0.5144</f>
        <v>18.004</v>
      </c>
      <c r="G130" s="22"/>
      <c r="H130" s="22"/>
      <c r="I130" s="18" t="n">
        <v>0</v>
      </c>
    </row>
    <row r="131" customFormat="false" ht="12.75" hidden="false" customHeight="false" outlineLevel="0" collapsed="false">
      <c r="A131" s="18" t="n">
        <f aca="false">B131-0.5</f>
        <v>1.25</v>
      </c>
      <c r="B131" s="18" t="n">
        <f aca="false">B130+0.25</f>
        <v>1.75</v>
      </c>
      <c r="C131" s="18" t="n">
        <v>25.5</v>
      </c>
      <c r="D131" s="18" t="n">
        <v>-84.7</v>
      </c>
      <c r="E131" s="18" t="n">
        <v>35</v>
      </c>
      <c r="F131" s="18" t="n">
        <f aca="false">E131*0.5144</f>
        <v>18.004</v>
      </c>
      <c r="G131" s="22" t="e">
        <f aca="false">arclethnm(C130,D130,C131,D131)/6</f>
        <v>#NAME?</v>
      </c>
      <c r="H131" s="22" t="e">
        <f aca="false">G131*0.5144</f>
        <v>#NAME?</v>
      </c>
      <c r="I131" s="18" t="n">
        <v>0</v>
      </c>
    </row>
    <row r="132" customFormat="false" ht="12.75" hidden="false" customHeight="false" outlineLevel="0" collapsed="false">
      <c r="A132" s="18" t="n">
        <f aca="false">B132-0.5</f>
        <v>1.5</v>
      </c>
      <c r="B132" s="18" t="n">
        <f aca="false">B131+0.25</f>
        <v>2</v>
      </c>
      <c r="C132" s="18" t="n">
        <v>25.9</v>
      </c>
      <c r="D132" s="18" t="n">
        <v>-85.5</v>
      </c>
      <c r="E132" s="18" t="n">
        <v>35</v>
      </c>
      <c r="F132" s="18" t="n">
        <f aca="false">E132*0.5144</f>
        <v>18.004</v>
      </c>
      <c r="G132" s="22" t="e">
        <f aca="false">arclethnm(C131,D131,C132,D132)/6</f>
        <v>#NAME?</v>
      </c>
      <c r="H132" s="22" t="e">
        <f aca="false">G132*0.5144</f>
        <v>#NAME?</v>
      </c>
      <c r="I132" s="18" t="n">
        <v>0</v>
      </c>
    </row>
    <row r="133" customFormat="false" ht="12.75" hidden="false" customHeight="false" outlineLevel="0" collapsed="false">
      <c r="A133" s="18" t="n">
        <f aca="false">B133-0.5</f>
        <v>1.75</v>
      </c>
      <c r="B133" s="18" t="n">
        <f aca="false">B132+0.25</f>
        <v>2.25</v>
      </c>
      <c r="C133" s="18" t="n">
        <v>26.3</v>
      </c>
      <c r="D133" s="18" t="n">
        <v>-86.2</v>
      </c>
      <c r="E133" s="18" t="n">
        <v>35</v>
      </c>
      <c r="F133" s="18" t="n">
        <f aca="false">E133*0.5144</f>
        <v>18.004</v>
      </c>
      <c r="G133" s="22" t="e">
        <f aca="false">arclethnm(C132,D132,C133,D133)/6</f>
        <v>#NAME?</v>
      </c>
      <c r="H133" s="22" t="e">
        <f aca="false">G133*0.5144</f>
        <v>#NAME?</v>
      </c>
      <c r="I133" s="18" t="n">
        <v>0</v>
      </c>
    </row>
    <row r="134" customFormat="false" ht="12.75" hidden="false" customHeight="false" outlineLevel="0" collapsed="false">
      <c r="A134" s="18" t="n">
        <f aca="false">B134-0.5</f>
        <v>2</v>
      </c>
      <c r="B134" s="18" t="n">
        <f aca="false">B133+0.25</f>
        <v>2.5</v>
      </c>
      <c r="C134" s="18" t="n">
        <v>26.7</v>
      </c>
      <c r="D134" s="18" t="n">
        <v>-87</v>
      </c>
      <c r="E134" s="18" t="n">
        <v>40</v>
      </c>
      <c r="F134" s="18" t="n">
        <f aca="false">E134*0.5144</f>
        <v>20.576</v>
      </c>
      <c r="G134" s="22" t="e">
        <f aca="false">arclethnm(C133,D133,C134,D134)/6</f>
        <v>#NAME?</v>
      </c>
      <c r="H134" s="22" t="e">
        <f aca="false">G134*0.5144</f>
        <v>#NAME?</v>
      </c>
      <c r="I134" s="18" t="n">
        <v>0</v>
      </c>
    </row>
    <row r="135" customFormat="false" ht="12.75" hidden="false" customHeight="false" outlineLevel="0" collapsed="false">
      <c r="A135" s="18" t="n">
        <f aca="false">B135-0.5</f>
        <v>2.25</v>
      </c>
      <c r="B135" s="18" t="n">
        <f aca="false">B134+0.25</f>
        <v>2.75</v>
      </c>
      <c r="C135" s="18" t="n">
        <v>26.7</v>
      </c>
      <c r="D135" s="18" t="n">
        <v>-87.7</v>
      </c>
      <c r="E135" s="18" t="n">
        <v>40</v>
      </c>
      <c r="F135" s="18" t="n">
        <f aca="false">E135*0.5144</f>
        <v>20.576</v>
      </c>
      <c r="G135" s="22" t="e">
        <f aca="false">arclethnm(C134,D134,C135,D135)/6</f>
        <v>#NAME?</v>
      </c>
      <c r="H135" s="22" t="e">
        <f aca="false">G135*0.5144</f>
        <v>#NAME?</v>
      </c>
      <c r="I135" s="18" t="n">
        <v>0</v>
      </c>
    </row>
    <row r="136" customFormat="false" ht="12.75" hidden="false" customHeight="false" outlineLevel="0" collapsed="false">
      <c r="A136" s="18" t="n">
        <f aca="false">B136-0.5</f>
        <v>2.5</v>
      </c>
      <c r="B136" s="18" t="n">
        <f aca="false">B135+0.25</f>
        <v>3</v>
      </c>
      <c r="C136" s="18" t="n">
        <v>26.6</v>
      </c>
      <c r="D136" s="18" t="n">
        <v>-88.5</v>
      </c>
      <c r="E136" s="18" t="n">
        <v>45</v>
      </c>
      <c r="F136" s="18" t="n">
        <f aca="false">E136*0.5144</f>
        <v>23.148</v>
      </c>
      <c r="G136" s="22" t="e">
        <f aca="false">arclethnm(C135,D135,C136,D136)/6</f>
        <v>#NAME?</v>
      </c>
      <c r="H136" s="22" t="e">
        <f aca="false">G136*0.5144</f>
        <v>#NAME?</v>
      </c>
      <c r="I136" s="18" t="n">
        <v>0</v>
      </c>
    </row>
    <row r="137" customFormat="false" ht="12.75" hidden="false" customHeight="false" outlineLevel="0" collapsed="false">
      <c r="A137" s="18" t="n">
        <f aca="false">B137-0.5</f>
        <v>2.75</v>
      </c>
      <c r="B137" s="18" t="n">
        <f aca="false">B136+0.25</f>
        <v>3.25</v>
      </c>
      <c r="C137" s="18" t="n">
        <v>26.6</v>
      </c>
      <c r="D137" s="18" t="n">
        <v>-89.3</v>
      </c>
      <c r="E137" s="18" t="n">
        <v>45</v>
      </c>
      <c r="F137" s="18" t="n">
        <f aca="false">E137*0.5144</f>
        <v>23.148</v>
      </c>
      <c r="G137" s="22" t="e">
        <f aca="false">arclethnm(C136,D136,C137,D137)/6</f>
        <v>#NAME?</v>
      </c>
      <c r="H137" s="22" t="e">
        <f aca="false">G137*0.5144</f>
        <v>#NAME?</v>
      </c>
      <c r="I137" s="18" t="n">
        <v>0</v>
      </c>
    </row>
    <row r="138" customFormat="false" ht="12.75" hidden="false" customHeight="false" outlineLevel="0" collapsed="false">
      <c r="A138" s="18" t="n">
        <f aca="false">B138-0.5</f>
        <v>3</v>
      </c>
      <c r="B138" s="18" t="n">
        <f aca="false">B137+0.25</f>
        <v>3.5</v>
      </c>
      <c r="C138" s="18" t="n">
        <v>26.5</v>
      </c>
      <c r="D138" s="18" t="n">
        <v>-90.1</v>
      </c>
      <c r="E138" s="18" t="n">
        <v>50</v>
      </c>
      <c r="F138" s="18" t="n">
        <f aca="false">E138*0.5144</f>
        <v>25.72</v>
      </c>
      <c r="G138" s="22" t="e">
        <f aca="false">arclethnm(C137,D137,C138,D138)/6</f>
        <v>#NAME?</v>
      </c>
      <c r="H138" s="22" t="e">
        <f aca="false">G138*0.5144</f>
        <v>#NAME?</v>
      </c>
      <c r="I138" s="18" t="n">
        <v>0</v>
      </c>
    </row>
    <row r="139" customFormat="false" ht="12.75" hidden="false" customHeight="false" outlineLevel="0" collapsed="false">
      <c r="A139" s="18" t="n">
        <f aca="false">B139-0.5</f>
        <v>3.25</v>
      </c>
      <c r="B139" s="18" t="n">
        <f aca="false">B138+0.25</f>
        <v>3.75</v>
      </c>
      <c r="C139" s="18" t="n">
        <v>26.5</v>
      </c>
      <c r="D139" s="18" t="n">
        <v>-90.9</v>
      </c>
      <c r="E139" s="18" t="n">
        <v>50</v>
      </c>
      <c r="F139" s="18" t="n">
        <f aca="false">E139*0.5144</f>
        <v>25.72</v>
      </c>
      <c r="G139" s="22" t="e">
        <f aca="false">arclethnm(C138,D138,C139,D139)/6</f>
        <v>#NAME?</v>
      </c>
      <c r="H139" s="22" t="e">
        <f aca="false">G139*0.5144</f>
        <v>#NAME?</v>
      </c>
      <c r="I139" s="18" t="n">
        <v>0</v>
      </c>
    </row>
    <row r="140" customFormat="false" ht="12.75" hidden="false" customHeight="false" outlineLevel="0" collapsed="false">
      <c r="A140" s="18" t="n">
        <f aca="false">B140-0.5</f>
        <v>3.5</v>
      </c>
      <c r="B140" s="18" t="n">
        <f aca="false">B139+0.25</f>
        <v>4</v>
      </c>
      <c r="C140" s="18" t="n">
        <v>26.4</v>
      </c>
      <c r="D140" s="18" t="n">
        <v>-91.7</v>
      </c>
      <c r="E140" s="18" t="n">
        <v>50</v>
      </c>
      <c r="F140" s="18" t="n">
        <f aca="false">E140*0.5144</f>
        <v>25.72</v>
      </c>
      <c r="G140" s="22" t="e">
        <f aca="false">arclethnm(C139,D139,C140,D140)/6</f>
        <v>#NAME?</v>
      </c>
      <c r="H140" s="22" t="e">
        <f aca="false">G140*0.5144</f>
        <v>#NAME?</v>
      </c>
      <c r="I140" s="18" t="n">
        <v>0</v>
      </c>
    </row>
    <row r="141" customFormat="false" ht="12.75" hidden="false" customHeight="false" outlineLevel="0" collapsed="false">
      <c r="A141" s="18" t="n">
        <f aca="false">B141-0.5</f>
        <v>3.75</v>
      </c>
      <c r="B141" s="18" t="n">
        <f aca="false">B140+0.25</f>
        <v>4.25</v>
      </c>
      <c r="C141" s="18" t="n">
        <v>26.4</v>
      </c>
      <c r="D141" s="18" t="n">
        <v>-92.5</v>
      </c>
      <c r="E141" s="18" t="n">
        <v>50</v>
      </c>
      <c r="F141" s="18" t="n">
        <f aca="false">E141*0.5144</f>
        <v>25.72</v>
      </c>
      <c r="G141" s="22" t="e">
        <f aca="false">arclethnm(C140,D140,C141,D141)/6</f>
        <v>#NAME?</v>
      </c>
      <c r="H141" s="22" t="e">
        <f aca="false">G141*0.5144</f>
        <v>#NAME?</v>
      </c>
      <c r="I141" s="18" t="n">
        <v>0</v>
      </c>
    </row>
    <row r="142" customFormat="false" ht="12.75" hidden="false" customHeight="false" outlineLevel="0" collapsed="false">
      <c r="A142" s="18" t="n">
        <f aca="false">B142-0.5</f>
        <v>4</v>
      </c>
      <c r="B142" s="18" t="n">
        <f aca="false">B141+0.25</f>
        <v>4.5</v>
      </c>
      <c r="C142" s="18" t="n">
        <v>26.3</v>
      </c>
      <c r="D142" s="18" t="n">
        <v>-93.3</v>
      </c>
      <c r="E142" s="18" t="n">
        <v>50</v>
      </c>
      <c r="F142" s="18" t="n">
        <f aca="false">E142*0.5144</f>
        <v>25.72</v>
      </c>
      <c r="G142" s="22" t="e">
        <f aca="false">arclethnm(C141,D141,C142,D142)/6</f>
        <v>#NAME?</v>
      </c>
      <c r="H142" s="22" t="e">
        <f aca="false">G142*0.5144</f>
        <v>#NAME?</v>
      </c>
      <c r="I142" s="18" t="n">
        <v>0</v>
      </c>
    </row>
    <row r="143" customFormat="false" ht="12.75" hidden="false" customHeight="false" outlineLevel="0" collapsed="false">
      <c r="A143" s="18" t="n">
        <f aca="false">B143-0.5</f>
        <v>4.25</v>
      </c>
      <c r="B143" s="18" t="n">
        <f aca="false">B142+0.25</f>
        <v>4.75</v>
      </c>
      <c r="C143" s="18" t="n">
        <v>26.3</v>
      </c>
      <c r="D143" s="18" t="n">
        <v>-94.1</v>
      </c>
      <c r="E143" s="18" t="n">
        <v>55</v>
      </c>
      <c r="F143" s="18" t="n">
        <f aca="false">E143*0.5144</f>
        <v>28.292</v>
      </c>
      <c r="G143" s="22" t="e">
        <f aca="false">arclethnm(C142,D142,C143,D143)/6</f>
        <v>#NAME?</v>
      </c>
      <c r="H143" s="22" t="e">
        <f aca="false">G143*0.5144</f>
        <v>#NAME?</v>
      </c>
      <c r="I143" s="18" t="n">
        <v>0</v>
      </c>
    </row>
    <row r="144" customFormat="false" ht="12.75" hidden="false" customHeight="false" outlineLevel="0" collapsed="false">
      <c r="A144" s="18" t="n">
        <f aca="false">B144-0.5</f>
        <v>4.5</v>
      </c>
      <c r="B144" s="18" t="n">
        <f aca="false">B143+0.25</f>
        <v>5</v>
      </c>
      <c r="C144" s="18" t="n">
        <v>26.2</v>
      </c>
      <c r="D144" s="18" t="n">
        <v>-94.9</v>
      </c>
      <c r="E144" s="18" t="n">
        <v>65</v>
      </c>
      <c r="F144" s="18" t="n">
        <f aca="false">E144*0.5144</f>
        <v>33.436</v>
      </c>
      <c r="G144" s="22" t="e">
        <f aca="false">arclethnm(C143,D143,C144,D144)/6</f>
        <v>#NAME?</v>
      </c>
      <c r="H144" s="22" t="e">
        <f aca="false">G144*0.5144</f>
        <v>#NAME?</v>
      </c>
      <c r="I144" s="18" t="n">
        <v>0</v>
      </c>
    </row>
    <row r="145" customFormat="false" ht="12.75" hidden="false" customHeight="false" outlineLevel="0" collapsed="false">
      <c r="A145" s="18" t="n">
        <f aca="false">B145-0.5</f>
        <v>4.75</v>
      </c>
      <c r="B145" s="18" t="n">
        <f aca="false">B144+0.25</f>
        <v>5.25</v>
      </c>
      <c r="C145" s="18" t="n">
        <v>26.2</v>
      </c>
      <c r="D145" s="18" t="n">
        <v>-95.7</v>
      </c>
      <c r="E145" s="18" t="n">
        <v>75</v>
      </c>
      <c r="F145" s="18" t="n">
        <f aca="false">E145*0.5144</f>
        <v>38.58</v>
      </c>
      <c r="G145" s="22" t="e">
        <f aca="false">arclethnm(C144,D144,C145,D145)/6</f>
        <v>#NAME?</v>
      </c>
      <c r="H145" s="22" t="e">
        <f aca="false">G145*0.5144</f>
        <v>#NAME?</v>
      </c>
      <c r="I145" s="18" t="n">
        <v>0</v>
      </c>
    </row>
    <row r="146" customFormat="false" ht="12.75" hidden="false" customHeight="false" outlineLevel="0" collapsed="false">
      <c r="A146" s="18" t="n">
        <f aca="false">B146-0.5</f>
        <v>5</v>
      </c>
      <c r="B146" s="18" t="n">
        <f aca="false">B145+0.25</f>
        <v>5.5</v>
      </c>
      <c r="C146" s="18" t="n">
        <v>26.1</v>
      </c>
      <c r="D146" s="18" t="n">
        <v>-96.5</v>
      </c>
      <c r="E146" s="18" t="n">
        <v>85</v>
      </c>
      <c r="F146" s="18" t="n">
        <f aca="false">E146*0.5144</f>
        <v>43.724</v>
      </c>
      <c r="G146" s="22" t="e">
        <f aca="false">arclethnm(C145,D145,C146,D146)/6</f>
        <v>#NAME?</v>
      </c>
      <c r="H146" s="22" t="e">
        <f aca="false">G146*0.5144</f>
        <v>#NAME?</v>
      </c>
      <c r="I146" s="18" t="n">
        <v>0</v>
      </c>
    </row>
    <row r="147" customFormat="false" ht="12.75" hidden="false" customHeight="false" outlineLevel="0" collapsed="false">
      <c r="A147" s="18" t="n">
        <f aca="false">B147-0.5</f>
        <v>5.25</v>
      </c>
      <c r="B147" s="18" t="n">
        <f aca="false">B146+0.25</f>
        <v>5.75</v>
      </c>
      <c r="C147" s="18" t="n">
        <v>26.1</v>
      </c>
      <c r="D147" s="18" t="n">
        <v>-97.2</v>
      </c>
      <c r="E147" s="18" t="n">
        <v>85</v>
      </c>
      <c r="F147" s="18" t="n">
        <f aca="false">E147*0.5144</f>
        <v>43.724</v>
      </c>
      <c r="G147" s="22" t="e">
        <f aca="false">arclethnm(C146,D146,C147,D147)/6</f>
        <v>#NAME?</v>
      </c>
      <c r="H147" s="22" t="e">
        <f aca="false">G147*0.5144</f>
        <v>#NAME?</v>
      </c>
      <c r="I147" s="18" t="n">
        <v>0</v>
      </c>
    </row>
    <row r="148" customFormat="false" ht="12.75" hidden="false" customHeight="false" outlineLevel="0" collapsed="false">
      <c r="A148" s="18" t="n">
        <f aca="false">B148-0.5</f>
        <v>5.5</v>
      </c>
      <c r="B148" s="18" t="n">
        <f aca="false">B147+0.25</f>
        <v>6</v>
      </c>
      <c r="C148" s="18" t="n">
        <v>26.1</v>
      </c>
      <c r="D148" s="18" t="n">
        <v>-97.3</v>
      </c>
      <c r="E148" s="18" t="n">
        <v>70</v>
      </c>
      <c r="F148" s="18" t="n">
        <f aca="false">E148*0.5144</f>
        <v>36.008</v>
      </c>
      <c r="G148" s="22" t="e">
        <f aca="false">arclethnm(C147,D147,C148,D148)/6</f>
        <v>#NAME?</v>
      </c>
      <c r="H148" s="22" t="e">
        <f aca="false">G148*0.5144</f>
        <v>#NAME?</v>
      </c>
      <c r="I148" s="18" t="n">
        <v>972</v>
      </c>
    </row>
    <row r="149" customFormat="false" ht="12.75" hidden="false" customHeight="false" outlineLevel="0" collapsed="false">
      <c r="A149" s="18" t="n">
        <f aca="false">B149-0.5</f>
        <v>5.75</v>
      </c>
      <c r="B149" s="18" t="n">
        <f aca="false">B148+0.25</f>
        <v>6.25</v>
      </c>
      <c r="C149" s="18" t="n">
        <v>26</v>
      </c>
      <c r="D149" s="18" t="n">
        <v>-98</v>
      </c>
      <c r="E149" s="18" t="n">
        <v>50</v>
      </c>
      <c r="F149" s="18" t="n">
        <f aca="false">E149*0.5144</f>
        <v>25.72</v>
      </c>
      <c r="G149" s="22" t="e">
        <f aca="false">arclethnm(C148,D148,C149,D149)/6</f>
        <v>#NAME?</v>
      </c>
      <c r="H149" s="22" t="e">
        <f aca="false">G149*0.5144</f>
        <v>#NAME?</v>
      </c>
      <c r="I149" s="18" t="n">
        <v>0</v>
      </c>
    </row>
    <row r="150" customFormat="false" ht="12.75" hidden="false" customHeight="false" outlineLevel="0" collapsed="false">
      <c r="A150" s="18" t="n">
        <f aca="false">B150-0.5</f>
        <v>6</v>
      </c>
      <c r="B150" s="18" t="n">
        <f aca="false">B149+0.25</f>
        <v>6.5</v>
      </c>
      <c r="C150" s="18" t="n">
        <v>26</v>
      </c>
      <c r="D150" s="18" t="n">
        <v>-98.6</v>
      </c>
      <c r="E150" s="18" t="n">
        <v>35</v>
      </c>
      <c r="F150" s="18" t="n">
        <f aca="false">E150*0.5144</f>
        <v>18.004</v>
      </c>
      <c r="G150" s="22" t="e">
        <f aca="false">arclethnm(C149,D149,C150,D150)/6</f>
        <v>#NAME?</v>
      </c>
      <c r="H150" s="22" t="e">
        <f aca="false">G150*0.5144</f>
        <v>#NAME?</v>
      </c>
      <c r="I150" s="18" t="n">
        <v>0</v>
      </c>
    </row>
    <row r="151" customFormat="false" ht="12.75" hidden="false" customHeight="false" outlineLevel="0" collapsed="false">
      <c r="A151" s="18" t="n">
        <f aca="false">B151-0.5</f>
        <v>6.25</v>
      </c>
      <c r="B151" s="18" t="n">
        <f aca="false">B150+0.25</f>
        <v>6.75</v>
      </c>
      <c r="C151" s="18" t="n">
        <v>26</v>
      </c>
      <c r="D151" s="18" t="n">
        <v>-99</v>
      </c>
      <c r="E151" s="18" t="n">
        <v>30</v>
      </c>
      <c r="F151" s="18" t="n">
        <f aca="false">E151*0.5144</f>
        <v>15.432</v>
      </c>
      <c r="G151" s="22" t="e">
        <f aca="false">arclethnm(C150,D150,C151,D151)/6</f>
        <v>#NAME?</v>
      </c>
      <c r="H151" s="22" t="e">
        <f aca="false">G151*0.5144</f>
        <v>#NAME?</v>
      </c>
      <c r="I151" s="18" t="n">
        <v>0</v>
      </c>
    </row>
    <row r="152" customFormat="false" ht="12.75" hidden="false" customHeight="false" outlineLevel="0" collapsed="false">
      <c r="A152" s="0"/>
      <c r="B152" s="0"/>
      <c r="C152" s="0"/>
      <c r="D152" s="0"/>
      <c r="E152" s="0"/>
      <c r="F152" s="0"/>
      <c r="G152" s="22"/>
      <c r="H152" s="22"/>
      <c r="I152" s="0"/>
    </row>
    <row r="153" customFormat="false" ht="12.75" hidden="false" customHeight="false" outlineLevel="0" collapsed="false">
      <c r="A153" s="0"/>
      <c r="B153" s="0"/>
      <c r="C153" s="0"/>
      <c r="D153" s="0"/>
      <c r="E153" s="0"/>
      <c r="F153" s="0"/>
      <c r="G153" s="22"/>
      <c r="H153" s="22"/>
      <c r="I153" s="0"/>
    </row>
    <row r="154" customFormat="false" ht="12.75" hidden="false" customHeight="false" outlineLevel="0" collapsed="false">
      <c r="A154" s="0"/>
      <c r="B154" s="18" t="n">
        <v>1909</v>
      </c>
      <c r="C154" s="0"/>
      <c r="D154" s="0"/>
      <c r="E154" s="0"/>
      <c r="F154" s="0"/>
      <c r="G154" s="22"/>
      <c r="H154" s="22"/>
      <c r="I154" s="0"/>
    </row>
    <row r="155" customFormat="false" ht="12.75" hidden="false" customHeight="false" outlineLevel="0" collapsed="false">
      <c r="A155" s="18" t="n">
        <f aca="false">B155-0.5</f>
        <v>1</v>
      </c>
      <c r="B155" s="18" t="n">
        <v>1.5</v>
      </c>
      <c r="C155" s="18" t="n">
        <v>12.3</v>
      </c>
      <c r="D155" s="18" t="n">
        <v>-60.5</v>
      </c>
      <c r="E155" s="18" t="n">
        <v>30</v>
      </c>
      <c r="F155" s="18" t="n">
        <f aca="false">E155*0.5144</f>
        <v>15.432</v>
      </c>
      <c r="G155" s="22"/>
      <c r="H155" s="22"/>
      <c r="I155" s="18" t="n">
        <v>0</v>
      </c>
    </row>
    <row r="156" customFormat="false" ht="12.75" hidden="false" customHeight="false" outlineLevel="0" collapsed="false">
      <c r="A156" s="18" t="n">
        <f aca="false">B156-0.5</f>
        <v>1.25</v>
      </c>
      <c r="B156" s="18" t="n">
        <f aca="false">B155+0.25</f>
        <v>1.75</v>
      </c>
      <c r="C156" s="18" t="n">
        <v>12.3</v>
      </c>
      <c r="D156" s="18" t="n">
        <v>-62</v>
      </c>
      <c r="E156" s="18" t="n">
        <v>30</v>
      </c>
      <c r="F156" s="18" t="n">
        <f aca="false">E156*0.5144</f>
        <v>15.432</v>
      </c>
      <c r="G156" s="22" t="e">
        <f aca="false">arclethnm(C155,D155,C156,D156)/6</f>
        <v>#NAME?</v>
      </c>
      <c r="H156" s="22" t="e">
        <f aca="false">G156*0.5144</f>
        <v>#NAME?</v>
      </c>
      <c r="I156" s="18" t="n">
        <v>0</v>
      </c>
    </row>
    <row r="157" customFormat="false" ht="12.75" hidden="false" customHeight="false" outlineLevel="0" collapsed="false">
      <c r="A157" s="18" t="n">
        <f aca="false">B157-0.5</f>
        <v>1.5</v>
      </c>
      <c r="B157" s="18" t="n">
        <f aca="false">B156+0.25</f>
        <v>2</v>
      </c>
      <c r="C157" s="18" t="n">
        <v>12.4</v>
      </c>
      <c r="D157" s="18" t="n">
        <v>-63.5</v>
      </c>
      <c r="E157" s="18" t="n">
        <v>30</v>
      </c>
      <c r="F157" s="18" t="n">
        <f aca="false">E157*0.5144</f>
        <v>15.432</v>
      </c>
      <c r="G157" s="22" t="e">
        <f aca="false">arclethnm(C156,D156,C157,D157)/6</f>
        <v>#NAME?</v>
      </c>
      <c r="H157" s="22" t="e">
        <f aca="false">G157*0.5144</f>
        <v>#NAME?</v>
      </c>
      <c r="I157" s="18" t="n">
        <v>0</v>
      </c>
    </row>
    <row r="158" customFormat="false" ht="12.75" hidden="false" customHeight="false" outlineLevel="0" collapsed="false">
      <c r="A158" s="18" t="n">
        <f aca="false">B158-0.5</f>
        <v>1.75</v>
      </c>
      <c r="B158" s="18" t="n">
        <f aca="false">B157+0.25</f>
        <v>2.25</v>
      </c>
      <c r="C158" s="18" t="n">
        <v>12.6</v>
      </c>
      <c r="D158" s="18" t="n">
        <v>-64.9</v>
      </c>
      <c r="E158" s="18" t="n">
        <v>30</v>
      </c>
      <c r="F158" s="18" t="n">
        <f aca="false">E158*0.5144</f>
        <v>15.432</v>
      </c>
      <c r="G158" s="22" t="e">
        <f aca="false">arclethnm(C157,D157,C158,D158)/6</f>
        <v>#NAME?</v>
      </c>
      <c r="H158" s="22" t="e">
        <f aca="false">G158*0.5144</f>
        <v>#NAME?</v>
      </c>
      <c r="I158" s="18" t="n">
        <v>0</v>
      </c>
    </row>
    <row r="159" customFormat="false" ht="12.75" hidden="false" customHeight="false" outlineLevel="0" collapsed="false">
      <c r="A159" s="18" t="n">
        <f aca="false">B159-0.5</f>
        <v>2</v>
      </c>
      <c r="B159" s="18" t="n">
        <f aca="false">B158+0.25</f>
        <v>2.5</v>
      </c>
      <c r="C159" s="18" t="n">
        <v>13</v>
      </c>
      <c r="D159" s="18" t="n">
        <v>-66.2</v>
      </c>
      <c r="E159" s="18" t="n">
        <v>30</v>
      </c>
      <c r="F159" s="18" t="n">
        <f aca="false">E159*0.5144</f>
        <v>15.432</v>
      </c>
      <c r="G159" s="22" t="e">
        <f aca="false">arclethnm(C158,D158,C159,D159)/6</f>
        <v>#NAME?</v>
      </c>
      <c r="H159" s="22" t="e">
        <f aca="false">G159*0.5144</f>
        <v>#NAME?</v>
      </c>
      <c r="I159" s="18" t="n">
        <v>0</v>
      </c>
    </row>
    <row r="160" customFormat="false" ht="12.75" hidden="false" customHeight="false" outlineLevel="0" collapsed="false">
      <c r="A160" s="18" t="n">
        <f aca="false">B160-0.5</f>
        <v>2.25</v>
      </c>
      <c r="B160" s="18" t="n">
        <f aca="false">B159+0.25</f>
        <v>2.75</v>
      </c>
      <c r="C160" s="18" t="n">
        <v>13.5</v>
      </c>
      <c r="D160" s="18" t="n">
        <v>-67.4</v>
      </c>
      <c r="E160" s="18" t="n">
        <v>30</v>
      </c>
      <c r="F160" s="18" t="n">
        <f aca="false">E160*0.5144</f>
        <v>15.432</v>
      </c>
      <c r="G160" s="22" t="e">
        <f aca="false">arclethnm(C159,D159,C160,D160)/6</f>
        <v>#NAME?</v>
      </c>
      <c r="H160" s="22" t="e">
        <f aca="false">G160*0.5144</f>
        <v>#NAME?</v>
      </c>
      <c r="I160" s="18" t="n">
        <v>0</v>
      </c>
    </row>
    <row r="161" customFormat="false" ht="12.75" hidden="false" customHeight="false" outlineLevel="0" collapsed="false">
      <c r="A161" s="18" t="n">
        <f aca="false">B161-0.5</f>
        <v>2.5</v>
      </c>
      <c r="B161" s="18" t="n">
        <f aca="false">B160+0.25</f>
        <v>3</v>
      </c>
      <c r="C161" s="18" t="n">
        <v>14</v>
      </c>
      <c r="D161" s="18" t="n">
        <v>-68.6</v>
      </c>
      <c r="E161" s="18" t="n">
        <v>30</v>
      </c>
      <c r="F161" s="18" t="n">
        <f aca="false">E161*0.5144</f>
        <v>15.432</v>
      </c>
      <c r="G161" s="22" t="e">
        <f aca="false">arclethnm(C160,D160,C161,D161)/6</f>
        <v>#NAME?</v>
      </c>
      <c r="H161" s="22" t="e">
        <f aca="false">G161*0.5144</f>
        <v>#NAME?</v>
      </c>
      <c r="I161" s="18" t="n">
        <v>0</v>
      </c>
    </row>
    <row r="162" customFormat="false" ht="12.75" hidden="false" customHeight="false" outlineLevel="0" collapsed="false">
      <c r="A162" s="18" t="n">
        <f aca="false">B162-0.5</f>
        <v>2.75</v>
      </c>
      <c r="B162" s="18" t="n">
        <f aca="false">B161+0.25</f>
        <v>3.25</v>
      </c>
      <c r="C162" s="18" t="n">
        <v>14.5</v>
      </c>
      <c r="D162" s="18" t="n">
        <v>-69.8</v>
      </c>
      <c r="E162" s="18" t="n">
        <v>30</v>
      </c>
      <c r="F162" s="18" t="n">
        <f aca="false">E162*0.5144</f>
        <v>15.432</v>
      </c>
      <c r="G162" s="22" t="e">
        <f aca="false">arclethnm(C161,D161,C162,D162)/6</f>
        <v>#NAME?</v>
      </c>
      <c r="H162" s="22" t="e">
        <f aca="false">G162*0.5144</f>
        <v>#NAME?</v>
      </c>
      <c r="I162" s="18" t="n">
        <v>0</v>
      </c>
    </row>
    <row r="163" customFormat="false" ht="12.75" hidden="false" customHeight="false" outlineLevel="0" collapsed="false">
      <c r="A163" s="18" t="n">
        <f aca="false">B163-0.5</f>
        <v>3</v>
      </c>
      <c r="B163" s="18" t="n">
        <f aca="false">B162+0.25</f>
        <v>3.5</v>
      </c>
      <c r="C163" s="18" t="n">
        <v>14.9</v>
      </c>
      <c r="D163" s="18" t="n">
        <v>-71</v>
      </c>
      <c r="E163" s="18" t="n">
        <v>30</v>
      </c>
      <c r="F163" s="18" t="n">
        <f aca="false">E163*0.5144</f>
        <v>15.432</v>
      </c>
      <c r="G163" s="22" t="e">
        <f aca="false">arclethnm(C162,D162,C163,D163)/6</f>
        <v>#NAME?</v>
      </c>
      <c r="H163" s="22" t="e">
        <f aca="false">G163*0.5144</f>
        <v>#NAME?</v>
      </c>
      <c r="I163" s="18" t="n">
        <v>0</v>
      </c>
    </row>
    <row r="164" customFormat="false" ht="12.75" hidden="false" customHeight="false" outlineLevel="0" collapsed="false">
      <c r="A164" s="18" t="n">
        <f aca="false">B164-0.5</f>
        <v>3.25</v>
      </c>
      <c r="B164" s="18" t="n">
        <f aca="false">B163+0.25</f>
        <v>3.75</v>
      </c>
      <c r="C164" s="18" t="n">
        <v>15.2</v>
      </c>
      <c r="D164" s="18" t="n">
        <v>-72.2</v>
      </c>
      <c r="E164" s="18" t="n">
        <v>30</v>
      </c>
      <c r="F164" s="18" t="n">
        <f aca="false">E164*0.5144</f>
        <v>15.432</v>
      </c>
      <c r="G164" s="22" t="e">
        <f aca="false">arclethnm(C163,D163,C164,D164)/6</f>
        <v>#NAME?</v>
      </c>
      <c r="H164" s="22" t="e">
        <f aca="false">G164*0.5144</f>
        <v>#NAME?</v>
      </c>
      <c r="I164" s="18" t="n">
        <v>0</v>
      </c>
    </row>
    <row r="165" customFormat="false" ht="12.75" hidden="false" customHeight="false" outlineLevel="0" collapsed="false">
      <c r="A165" s="18" t="n">
        <f aca="false">B165-0.5</f>
        <v>3.5</v>
      </c>
      <c r="B165" s="18" t="n">
        <f aca="false">B164+0.25</f>
        <v>4</v>
      </c>
      <c r="C165" s="18" t="n">
        <v>15.5</v>
      </c>
      <c r="D165" s="18" t="n">
        <v>-73.3</v>
      </c>
      <c r="E165" s="18" t="n">
        <v>30</v>
      </c>
      <c r="F165" s="18" t="n">
        <f aca="false">E165*0.5144</f>
        <v>15.432</v>
      </c>
      <c r="G165" s="22" t="e">
        <f aca="false">arclethnm(C164,D164,C165,D165)/6</f>
        <v>#NAME?</v>
      </c>
      <c r="H165" s="22" t="e">
        <f aca="false">G165*0.5144</f>
        <v>#NAME?</v>
      </c>
      <c r="I165" s="18" t="n">
        <v>0</v>
      </c>
    </row>
    <row r="166" customFormat="false" ht="12.75" hidden="false" customHeight="false" outlineLevel="0" collapsed="false">
      <c r="A166" s="18" t="n">
        <f aca="false">B166-0.5</f>
        <v>3.75</v>
      </c>
      <c r="B166" s="18" t="n">
        <f aca="false">B165+0.25</f>
        <v>4.25</v>
      </c>
      <c r="C166" s="18" t="n">
        <v>15.8</v>
      </c>
      <c r="D166" s="18" t="n">
        <v>-74.4</v>
      </c>
      <c r="E166" s="18" t="n">
        <v>30</v>
      </c>
      <c r="F166" s="18" t="n">
        <f aca="false">E166*0.5144</f>
        <v>15.432</v>
      </c>
      <c r="G166" s="22" t="e">
        <f aca="false">arclethnm(C165,D165,C166,D166)/6</f>
        <v>#NAME?</v>
      </c>
      <c r="H166" s="22" t="e">
        <f aca="false">G166*0.5144</f>
        <v>#NAME?</v>
      </c>
      <c r="I166" s="18" t="n">
        <v>0</v>
      </c>
    </row>
    <row r="167" customFormat="false" ht="12.75" hidden="false" customHeight="false" outlineLevel="0" collapsed="false">
      <c r="A167" s="18" t="n">
        <f aca="false">B167-0.5</f>
        <v>4</v>
      </c>
      <c r="B167" s="18" t="n">
        <f aca="false">B166+0.25</f>
        <v>4.5</v>
      </c>
      <c r="C167" s="18" t="n">
        <v>16</v>
      </c>
      <c r="D167" s="18" t="n">
        <v>-75.5</v>
      </c>
      <c r="E167" s="18" t="n">
        <v>30</v>
      </c>
      <c r="F167" s="18" t="n">
        <f aca="false">E167*0.5144</f>
        <v>15.432</v>
      </c>
      <c r="G167" s="22" t="e">
        <f aca="false">arclethnm(C166,D166,C167,D167)/6</f>
        <v>#NAME?</v>
      </c>
      <c r="H167" s="22" t="e">
        <f aca="false">G167*0.5144</f>
        <v>#NAME?</v>
      </c>
      <c r="I167" s="18" t="n">
        <v>0</v>
      </c>
    </row>
    <row r="168" customFormat="false" ht="12.75" hidden="false" customHeight="false" outlineLevel="0" collapsed="false">
      <c r="A168" s="18" t="n">
        <f aca="false">B168-0.5</f>
        <v>4.25</v>
      </c>
      <c r="B168" s="18" t="n">
        <f aca="false">B167+0.25</f>
        <v>4.75</v>
      </c>
      <c r="C168" s="18" t="n">
        <v>16.2</v>
      </c>
      <c r="D168" s="18" t="n">
        <v>-76.7</v>
      </c>
      <c r="E168" s="18" t="n">
        <v>30</v>
      </c>
      <c r="F168" s="18" t="n">
        <f aca="false">E168*0.5144</f>
        <v>15.432</v>
      </c>
      <c r="G168" s="22" t="e">
        <f aca="false">arclethnm(C167,D167,C168,D168)/6</f>
        <v>#NAME?</v>
      </c>
      <c r="H168" s="22" t="e">
        <f aca="false">G168*0.5144</f>
        <v>#NAME?</v>
      </c>
      <c r="I168" s="18" t="n">
        <v>0</v>
      </c>
    </row>
    <row r="169" customFormat="false" ht="12.75" hidden="false" customHeight="false" outlineLevel="0" collapsed="false">
      <c r="A169" s="18" t="n">
        <f aca="false">B169-0.5</f>
        <v>4.5</v>
      </c>
      <c r="B169" s="18" t="n">
        <f aca="false">B168+0.25</f>
        <v>5</v>
      </c>
      <c r="C169" s="18" t="n">
        <v>16.4</v>
      </c>
      <c r="D169" s="18" t="n">
        <v>-77.8</v>
      </c>
      <c r="E169" s="18" t="n">
        <v>35</v>
      </c>
      <c r="F169" s="18" t="n">
        <f aca="false">E169*0.5144</f>
        <v>18.004</v>
      </c>
      <c r="G169" s="22" t="e">
        <f aca="false">arclethnm(C168,D168,C169,D169)/6</f>
        <v>#NAME?</v>
      </c>
      <c r="H169" s="22" t="e">
        <f aca="false">G169*0.5144</f>
        <v>#NAME?</v>
      </c>
      <c r="I169" s="18" t="n">
        <v>0</v>
      </c>
    </row>
    <row r="170" customFormat="false" ht="12.75" hidden="false" customHeight="false" outlineLevel="0" collapsed="false">
      <c r="A170" s="18" t="n">
        <f aca="false">B170-0.5</f>
        <v>4.75</v>
      </c>
      <c r="B170" s="18" t="n">
        <f aca="false">B169+0.25</f>
        <v>5.25</v>
      </c>
      <c r="C170" s="18" t="n">
        <v>16.7</v>
      </c>
      <c r="D170" s="18" t="n">
        <v>-78.9</v>
      </c>
      <c r="E170" s="18" t="n">
        <v>40</v>
      </c>
      <c r="F170" s="18" t="n">
        <f aca="false">E170*0.5144</f>
        <v>20.576</v>
      </c>
      <c r="G170" s="22" t="e">
        <f aca="false">arclethnm(C169,D169,C170,D170)/6</f>
        <v>#NAME?</v>
      </c>
      <c r="H170" s="22" t="e">
        <f aca="false">G170*0.5144</f>
        <v>#NAME?</v>
      </c>
      <c r="I170" s="18" t="n">
        <v>0</v>
      </c>
    </row>
    <row r="171" customFormat="false" ht="12.75" hidden="false" customHeight="false" outlineLevel="0" collapsed="false">
      <c r="A171" s="18" t="n">
        <f aca="false">B171-0.5</f>
        <v>5</v>
      </c>
      <c r="B171" s="18" t="n">
        <f aca="false">B170+0.25</f>
        <v>5.5</v>
      </c>
      <c r="C171" s="18" t="n">
        <v>17.2</v>
      </c>
      <c r="D171" s="18" t="n">
        <v>-80</v>
      </c>
      <c r="E171" s="18" t="n">
        <v>45</v>
      </c>
      <c r="F171" s="18" t="n">
        <f aca="false">E171*0.5144</f>
        <v>23.148</v>
      </c>
      <c r="G171" s="22" t="e">
        <f aca="false">arclethnm(C170,D170,C171,D171)/6</f>
        <v>#NAME?</v>
      </c>
      <c r="H171" s="22" t="e">
        <f aca="false">G171*0.5144</f>
        <v>#NAME?</v>
      </c>
      <c r="I171" s="18" t="n">
        <v>0</v>
      </c>
    </row>
    <row r="172" customFormat="false" ht="12.75" hidden="false" customHeight="false" outlineLevel="0" collapsed="false">
      <c r="A172" s="18" t="n">
        <f aca="false">B172-0.5</f>
        <v>5.25</v>
      </c>
      <c r="B172" s="18" t="n">
        <f aca="false">B171+0.25</f>
        <v>5.75</v>
      </c>
      <c r="C172" s="18" t="n">
        <v>18</v>
      </c>
      <c r="D172" s="18" t="n">
        <v>-81</v>
      </c>
      <c r="E172" s="18" t="n">
        <v>50</v>
      </c>
      <c r="F172" s="18" t="n">
        <f aca="false">E172*0.5144</f>
        <v>25.72</v>
      </c>
      <c r="G172" s="22" t="e">
        <f aca="false">arclethnm(C171,D171,C172,D172)/6</f>
        <v>#NAME?</v>
      </c>
      <c r="H172" s="22" t="e">
        <f aca="false">G172*0.5144</f>
        <v>#NAME?</v>
      </c>
      <c r="I172" s="18" t="n">
        <v>0</v>
      </c>
    </row>
    <row r="173" customFormat="false" ht="12.75" hidden="false" customHeight="false" outlineLevel="0" collapsed="false">
      <c r="A173" s="18" t="n">
        <f aca="false">B173-0.5</f>
        <v>5.5</v>
      </c>
      <c r="B173" s="18" t="n">
        <f aca="false">B172+0.25</f>
        <v>6</v>
      </c>
      <c r="C173" s="18" t="n">
        <v>19</v>
      </c>
      <c r="D173" s="18" t="n">
        <v>-82</v>
      </c>
      <c r="E173" s="18" t="n">
        <v>55</v>
      </c>
      <c r="F173" s="18" t="n">
        <f aca="false">E173*0.5144</f>
        <v>28.292</v>
      </c>
      <c r="G173" s="22" t="e">
        <f aca="false">arclethnm(C172,D172,C173,D173)/6</f>
        <v>#NAME?</v>
      </c>
      <c r="H173" s="22" t="e">
        <f aca="false">G173*0.5144</f>
        <v>#NAME?</v>
      </c>
      <c r="I173" s="18" t="n">
        <v>0</v>
      </c>
    </row>
    <row r="174" customFormat="false" ht="12.75" hidden="false" customHeight="false" outlineLevel="0" collapsed="false">
      <c r="A174" s="18" t="n">
        <f aca="false">B174-0.5</f>
        <v>5.75</v>
      </c>
      <c r="B174" s="18" t="n">
        <f aca="false">B173+0.25</f>
        <v>6.25</v>
      </c>
      <c r="C174" s="18" t="n">
        <v>20</v>
      </c>
      <c r="D174" s="18" t="n">
        <v>-83</v>
      </c>
      <c r="E174" s="18" t="n">
        <v>60</v>
      </c>
      <c r="F174" s="18" t="n">
        <f aca="false">E174*0.5144</f>
        <v>30.864</v>
      </c>
      <c r="G174" s="22" t="e">
        <f aca="false">arclethnm(C173,D173,C174,D174)/6</f>
        <v>#NAME?</v>
      </c>
      <c r="H174" s="22" t="e">
        <f aca="false">G174*0.5144</f>
        <v>#NAME?</v>
      </c>
      <c r="I174" s="18" t="n">
        <v>0</v>
      </c>
    </row>
    <row r="175" customFormat="false" ht="12.75" hidden="false" customHeight="false" outlineLevel="0" collapsed="false">
      <c r="A175" s="18" t="n">
        <f aca="false">B175-0.5</f>
        <v>6</v>
      </c>
      <c r="B175" s="18" t="n">
        <f aca="false">B174+0.25</f>
        <v>6.5</v>
      </c>
      <c r="C175" s="18" t="n">
        <v>21</v>
      </c>
      <c r="D175" s="18" t="n">
        <v>-84</v>
      </c>
      <c r="E175" s="18" t="n">
        <v>60</v>
      </c>
      <c r="F175" s="18" t="n">
        <f aca="false">E175*0.5144</f>
        <v>30.864</v>
      </c>
      <c r="G175" s="22" t="e">
        <f aca="false">arclethnm(C174,D174,C175,D175)/6</f>
        <v>#NAME?</v>
      </c>
      <c r="H175" s="22" t="e">
        <f aca="false">G175*0.5144</f>
        <v>#NAME?</v>
      </c>
      <c r="I175" s="18" t="n">
        <v>0</v>
      </c>
    </row>
    <row r="176" customFormat="false" ht="12.75" hidden="false" customHeight="false" outlineLevel="0" collapsed="false">
      <c r="A176" s="18" t="n">
        <f aca="false">B176-0.5</f>
        <v>6.25</v>
      </c>
      <c r="B176" s="18" t="n">
        <f aca="false">B175+0.25</f>
        <v>6.75</v>
      </c>
      <c r="C176" s="18" t="n">
        <v>22</v>
      </c>
      <c r="D176" s="18" t="n">
        <v>-85</v>
      </c>
      <c r="E176" s="18" t="n">
        <v>65</v>
      </c>
      <c r="F176" s="18" t="n">
        <f aca="false">E176*0.5144</f>
        <v>33.436</v>
      </c>
      <c r="G176" s="22" t="e">
        <f aca="false">arclethnm(C175,D175,C176,D176)/6</f>
        <v>#NAME?</v>
      </c>
      <c r="H176" s="22" t="e">
        <f aca="false">G176*0.5144</f>
        <v>#NAME?</v>
      </c>
      <c r="I176" s="18" t="n">
        <v>0</v>
      </c>
    </row>
    <row r="177" customFormat="false" ht="12.75" hidden="false" customHeight="false" outlineLevel="0" collapsed="false">
      <c r="A177" s="18" t="n">
        <f aca="false">B177-0.5</f>
        <v>6.5</v>
      </c>
      <c r="B177" s="18" t="n">
        <f aca="false">B176+0.25</f>
        <v>7</v>
      </c>
      <c r="C177" s="18" t="n">
        <v>23</v>
      </c>
      <c r="D177" s="18" t="n">
        <v>-85.9</v>
      </c>
      <c r="E177" s="18" t="n">
        <v>70</v>
      </c>
      <c r="F177" s="18" t="n">
        <f aca="false">E177*0.5144</f>
        <v>36.008</v>
      </c>
      <c r="G177" s="22" t="e">
        <f aca="false">arclethnm(C176,D176,C177,D177)/6</f>
        <v>#NAME?</v>
      </c>
      <c r="H177" s="22" t="e">
        <f aca="false">G177*0.5144</f>
        <v>#NAME?</v>
      </c>
      <c r="I177" s="18" t="n">
        <v>0</v>
      </c>
    </row>
    <row r="178" customFormat="false" ht="12.75" hidden="false" customHeight="false" outlineLevel="0" collapsed="false">
      <c r="A178" s="18" t="n">
        <f aca="false">B178-0.5</f>
        <v>6.75</v>
      </c>
      <c r="B178" s="18" t="n">
        <f aca="false">B177+0.25</f>
        <v>7.25</v>
      </c>
      <c r="C178" s="18" t="n">
        <v>24</v>
      </c>
      <c r="D178" s="18" t="n">
        <v>-86.7</v>
      </c>
      <c r="E178" s="18" t="n">
        <v>70</v>
      </c>
      <c r="F178" s="18" t="n">
        <f aca="false">E178*0.5144</f>
        <v>36.008</v>
      </c>
      <c r="G178" s="22" t="e">
        <f aca="false">arclethnm(C177,D177,C178,D178)/6</f>
        <v>#NAME?</v>
      </c>
      <c r="H178" s="22" t="e">
        <f aca="false">G178*0.5144</f>
        <v>#NAME?</v>
      </c>
      <c r="I178" s="18" t="n">
        <v>0</v>
      </c>
    </row>
    <row r="179" customFormat="false" ht="12.75" hidden="false" customHeight="false" outlineLevel="0" collapsed="false">
      <c r="A179" s="18" t="n">
        <f aca="false">B179-0.5</f>
        <v>7</v>
      </c>
      <c r="B179" s="18" t="n">
        <f aca="false">B178+0.25</f>
        <v>7.5</v>
      </c>
      <c r="C179" s="18" t="n">
        <v>25</v>
      </c>
      <c r="D179" s="18" t="n">
        <v>-87.5</v>
      </c>
      <c r="E179" s="18" t="n">
        <v>70</v>
      </c>
      <c r="F179" s="18" t="n">
        <f aca="false">E179*0.5144</f>
        <v>36.008</v>
      </c>
      <c r="G179" s="22" t="e">
        <f aca="false">arclethnm(C178,D178,C179,D179)/6</f>
        <v>#NAME?</v>
      </c>
      <c r="H179" s="22" t="e">
        <f aca="false">G179*0.5144</f>
        <v>#NAME?</v>
      </c>
      <c r="I179" s="18" t="n">
        <v>0</v>
      </c>
    </row>
    <row r="180" customFormat="false" ht="12.75" hidden="false" customHeight="false" outlineLevel="0" collapsed="false">
      <c r="A180" s="18" t="n">
        <f aca="false">B180-0.5</f>
        <v>7.25</v>
      </c>
      <c r="B180" s="18" t="n">
        <f aca="false">B179+0.25</f>
        <v>7.75</v>
      </c>
      <c r="C180" s="18" t="n">
        <v>25.6</v>
      </c>
      <c r="D180" s="18" t="n">
        <v>-88.3</v>
      </c>
      <c r="E180" s="18" t="n">
        <v>70</v>
      </c>
      <c r="F180" s="18" t="n">
        <f aca="false">E180*0.5144</f>
        <v>36.008</v>
      </c>
      <c r="G180" s="22" t="e">
        <f aca="false">arclethnm(C179,D179,C180,D180)/6</f>
        <v>#NAME?</v>
      </c>
      <c r="H180" s="22" t="e">
        <f aca="false">G180*0.5144</f>
        <v>#NAME?</v>
      </c>
      <c r="I180" s="18" t="n">
        <v>0</v>
      </c>
    </row>
    <row r="181" customFormat="false" ht="12.75" hidden="false" customHeight="false" outlineLevel="0" collapsed="false">
      <c r="A181" s="18" t="n">
        <f aca="false">B181-0.5</f>
        <v>7.5</v>
      </c>
      <c r="B181" s="18" t="n">
        <f aca="false">B180+0.25</f>
        <v>8</v>
      </c>
      <c r="C181" s="18" t="n">
        <v>26.1</v>
      </c>
      <c r="D181" s="18" t="n">
        <v>-88.9</v>
      </c>
      <c r="E181" s="18" t="n">
        <v>70</v>
      </c>
      <c r="F181" s="18" t="n">
        <f aca="false">E181*0.5144</f>
        <v>36.008</v>
      </c>
      <c r="G181" s="22" t="e">
        <f aca="false">arclethnm(C180,D180,C181,D181)/6</f>
        <v>#NAME?</v>
      </c>
      <c r="H181" s="22" t="e">
        <f aca="false">G181*0.5144</f>
        <v>#NAME?</v>
      </c>
      <c r="I181" s="18" t="n">
        <v>0</v>
      </c>
    </row>
    <row r="182" customFormat="false" ht="12.75" hidden="false" customHeight="false" outlineLevel="0" collapsed="false">
      <c r="A182" s="18" t="n">
        <f aca="false">B182-0.5</f>
        <v>7.75</v>
      </c>
      <c r="B182" s="18" t="n">
        <f aca="false">B181+0.25</f>
        <v>8.25</v>
      </c>
      <c r="C182" s="18" t="n">
        <v>26.6</v>
      </c>
      <c r="D182" s="18" t="n">
        <v>-89.7</v>
      </c>
      <c r="E182" s="18" t="n">
        <v>70</v>
      </c>
      <c r="F182" s="18" t="n">
        <f aca="false">E182*0.5144</f>
        <v>36.008</v>
      </c>
      <c r="G182" s="22" t="e">
        <f aca="false">arclethnm(C181,D181,C182,D182)/6</f>
        <v>#NAME?</v>
      </c>
      <c r="H182" s="22" t="e">
        <f aca="false">G182*0.5144</f>
        <v>#NAME?</v>
      </c>
      <c r="I182" s="18" t="n">
        <v>0</v>
      </c>
    </row>
    <row r="183" customFormat="false" ht="12.75" hidden="false" customHeight="false" outlineLevel="0" collapsed="false">
      <c r="A183" s="18" t="n">
        <f aca="false">B183-0.5</f>
        <v>8</v>
      </c>
      <c r="B183" s="18" t="n">
        <f aca="false">B182+0.25</f>
        <v>8.5</v>
      </c>
      <c r="C183" s="18" t="n">
        <v>27</v>
      </c>
      <c r="D183" s="18" t="n">
        <v>-90.6</v>
      </c>
      <c r="E183" s="18" t="n">
        <v>70</v>
      </c>
      <c r="F183" s="18" t="n">
        <f aca="false">E183*0.5144</f>
        <v>36.008</v>
      </c>
      <c r="G183" s="22" t="e">
        <f aca="false">arclethnm(C182,D182,C183,D183)/6</f>
        <v>#NAME?</v>
      </c>
      <c r="H183" s="22" t="e">
        <f aca="false">G183*0.5144</f>
        <v>#NAME?</v>
      </c>
      <c r="I183" s="18" t="n">
        <v>0</v>
      </c>
    </row>
    <row r="184" customFormat="false" ht="12.75" hidden="false" customHeight="false" outlineLevel="0" collapsed="false">
      <c r="A184" s="18" t="n">
        <f aca="false">B184-0.5</f>
        <v>8.25</v>
      </c>
      <c r="B184" s="18" t="n">
        <f aca="false">B183+0.25</f>
        <v>8.75</v>
      </c>
      <c r="C184" s="18" t="n">
        <v>27.4</v>
      </c>
      <c r="D184" s="18" t="n">
        <v>-91.5</v>
      </c>
      <c r="E184" s="18" t="n">
        <v>70</v>
      </c>
      <c r="F184" s="18" t="n">
        <f aca="false">E184*0.5144</f>
        <v>36.008</v>
      </c>
      <c r="G184" s="22" t="e">
        <f aca="false">arclethnm(C183,D183,C184,D184)/6</f>
        <v>#NAME?</v>
      </c>
      <c r="H184" s="22" t="e">
        <f aca="false">G184*0.5144</f>
        <v>#NAME?</v>
      </c>
      <c r="I184" s="18" t="n">
        <v>985</v>
      </c>
    </row>
    <row r="185" customFormat="false" ht="12.75" hidden="false" customHeight="false" outlineLevel="0" collapsed="false">
      <c r="A185" s="18" t="n">
        <f aca="false">B185-0.5</f>
        <v>8.5</v>
      </c>
      <c r="B185" s="18" t="n">
        <f aca="false">B184+0.25</f>
        <v>9</v>
      </c>
      <c r="C185" s="18" t="n">
        <v>27.8</v>
      </c>
      <c r="D185" s="18" t="n">
        <v>-92.5</v>
      </c>
      <c r="E185" s="18" t="n">
        <v>80</v>
      </c>
      <c r="F185" s="18" t="n">
        <f aca="false">E185*0.5144</f>
        <v>41.152</v>
      </c>
      <c r="G185" s="22" t="e">
        <f aca="false">arclethnm(C184,D184,C185,D185)/6</f>
        <v>#NAME?</v>
      </c>
      <c r="H185" s="22" t="e">
        <f aca="false">G185*0.5144</f>
        <v>#NAME?</v>
      </c>
      <c r="I185" s="18" t="n">
        <v>0</v>
      </c>
    </row>
    <row r="186" customFormat="false" ht="12.75" hidden="false" customHeight="false" outlineLevel="0" collapsed="false">
      <c r="A186" s="18" t="n">
        <f aca="false">B186-0.5</f>
        <v>8.75</v>
      </c>
      <c r="B186" s="18" t="n">
        <f aca="false">B185+0.25</f>
        <v>9.25</v>
      </c>
      <c r="C186" s="18" t="n">
        <v>28.2</v>
      </c>
      <c r="D186" s="18" t="n">
        <v>-93.5</v>
      </c>
      <c r="E186" s="18" t="n">
        <v>90</v>
      </c>
      <c r="F186" s="18" t="n">
        <f aca="false">E186*0.5144</f>
        <v>46.296</v>
      </c>
      <c r="G186" s="22" t="e">
        <f aca="false">arclethnm(C185,D185,C186,D186)/6</f>
        <v>#NAME?</v>
      </c>
      <c r="H186" s="22" t="e">
        <f aca="false">G186*0.5144</f>
        <v>#NAME?</v>
      </c>
      <c r="I186" s="18" t="n">
        <v>0</v>
      </c>
    </row>
    <row r="187" customFormat="false" ht="12.75" hidden="false" customHeight="false" outlineLevel="0" collapsed="false">
      <c r="A187" s="18" t="n">
        <f aca="false">B187-0.5</f>
        <v>9</v>
      </c>
      <c r="B187" s="18" t="n">
        <f aca="false">B186+0.25</f>
        <v>9.5</v>
      </c>
      <c r="C187" s="18" t="n">
        <v>28.6</v>
      </c>
      <c r="D187" s="18" t="n">
        <v>-94.5</v>
      </c>
      <c r="E187" s="18" t="n">
        <v>100</v>
      </c>
      <c r="F187" s="18" t="n">
        <f aca="false">E187*0.5144</f>
        <v>51.44</v>
      </c>
      <c r="G187" s="22" t="e">
        <f aca="false">arclethnm(C186,D186,C187,D187)/6</f>
        <v>#NAME?</v>
      </c>
      <c r="H187" s="22" t="e">
        <f aca="false">G187*0.5144</f>
        <v>#NAME?</v>
      </c>
      <c r="I187" s="18" t="n">
        <v>0</v>
      </c>
    </row>
    <row r="188" customFormat="false" ht="12.75" hidden="false" customHeight="false" outlineLevel="0" collapsed="false">
      <c r="A188" s="18" t="n">
        <f aca="false">B188-0.5</f>
        <v>9.25</v>
      </c>
      <c r="B188" s="18" t="n">
        <f aca="false">B187+0.25</f>
        <v>9.75</v>
      </c>
      <c r="C188" s="18" t="n">
        <v>28.9</v>
      </c>
      <c r="D188" s="18" t="n">
        <v>-95.3</v>
      </c>
      <c r="E188" s="18" t="n">
        <v>100</v>
      </c>
      <c r="F188" s="18" t="n">
        <f aca="false">E188*0.5144</f>
        <v>51.44</v>
      </c>
      <c r="G188" s="22" t="e">
        <f aca="false">arclethnm(C187,D187,C188,D188)/6</f>
        <v>#NAME?</v>
      </c>
      <c r="H188" s="22" t="e">
        <f aca="false">G188*0.5144</f>
        <v>#NAME?</v>
      </c>
      <c r="I188" s="18" t="n">
        <v>0</v>
      </c>
    </row>
    <row r="189" customFormat="false" ht="12.75" hidden="false" customHeight="false" outlineLevel="0" collapsed="false">
      <c r="A189" s="18" t="n">
        <f aca="false">B189-0.5</f>
        <v>9.5</v>
      </c>
      <c r="B189" s="18" t="n">
        <f aca="false">B188+0.25</f>
        <v>10</v>
      </c>
      <c r="C189" s="18" t="n">
        <v>29</v>
      </c>
      <c r="D189" s="18" t="n">
        <v>-95.5</v>
      </c>
      <c r="E189" s="18" t="n">
        <v>90</v>
      </c>
      <c r="F189" s="18" t="n">
        <f aca="false">E189*0.5144</f>
        <v>46.296</v>
      </c>
      <c r="G189" s="22" t="e">
        <f aca="false">arclethnm(C188,D188,C189,D189)/6</f>
        <v>#NAME?</v>
      </c>
      <c r="H189" s="22" t="e">
        <f aca="false">G189*0.5144</f>
        <v>#NAME?</v>
      </c>
      <c r="I189" s="18" t="n">
        <v>959</v>
      </c>
    </row>
    <row r="190" customFormat="false" ht="12.75" hidden="false" customHeight="false" outlineLevel="0" collapsed="false">
      <c r="A190" s="18" t="n">
        <f aca="false">B190-0.5</f>
        <v>9.75</v>
      </c>
      <c r="B190" s="18" t="n">
        <f aca="false">B189+0.25</f>
        <v>10.25</v>
      </c>
      <c r="C190" s="18" t="n">
        <v>29.3</v>
      </c>
      <c r="D190" s="18" t="n">
        <v>-96.5</v>
      </c>
      <c r="E190" s="18" t="n">
        <v>65</v>
      </c>
      <c r="F190" s="18" t="n">
        <f aca="false">E190*0.5144</f>
        <v>33.436</v>
      </c>
      <c r="G190" s="22" t="e">
        <f aca="false">arclethnm(C189,D189,C190,D190)/6</f>
        <v>#NAME?</v>
      </c>
      <c r="H190" s="22" t="e">
        <f aca="false">G190*0.5144</f>
        <v>#NAME?</v>
      </c>
      <c r="I190" s="18" t="n">
        <v>0</v>
      </c>
    </row>
    <row r="191" customFormat="false" ht="12.75" hidden="false" customHeight="false" outlineLevel="0" collapsed="false">
      <c r="A191" s="18" t="n">
        <f aca="false">B191-0.5</f>
        <v>10</v>
      </c>
      <c r="B191" s="18" t="n">
        <f aca="false">B190+0.25</f>
        <v>10.5</v>
      </c>
      <c r="C191" s="18" t="n">
        <v>29.6</v>
      </c>
      <c r="D191" s="18" t="n">
        <v>-97.6</v>
      </c>
      <c r="E191" s="18" t="n">
        <v>30</v>
      </c>
      <c r="F191" s="18" t="n">
        <f aca="false">E191*0.5144</f>
        <v>15.432</v>
      </c>
      <c r="G191" s="22" t="e">
        <f aca="false">arclethnm(C190,D190,C191,D191)/6</f>
        <v>#NAME?</v>
      </c>
      <c r="H191" s="22" t="e">
        <f aca="false">G191*0.5144</f>
        <v>#NAME?</v>
      </c>
      <c r="I191" s="18" t="n">
        <v>0</v>
      </c>
    </row>
    <row r="192" customFormat="false" ht="12.75" hidden="false" customHeight="false" outlineLevel="0" collapsed="false">
      <c r="A192" s="18" t="n">
        <f aca="false">B192-0.5</f>
        <v>10.25</v>
      </c>
      <c r="B192" s="18" t="n">
        <f aca="false">B191+0.25</f>
        <v>10.75</v>
      </c>
      <c r="C192" s="18" t="n">
        <v>30.2</v>
      </c>
      <c r="D192" s="18" t="n">
        <v>-98.8</v>
      </c>
      <c r="E192" s="18" t="n">
        <v>25</v>
      </c>
      <c r="F192" s="18" t="n">
        <f aca="false">E192*0.5144</f>
        <v>12.86</v>
      </c>
      <c r="G192" s="22" t="e">
        <f aca="false">arclethnm(C191,D191,C192,D192)/6</f>
        <v>#NAME?</v>
      </c>
      <c r="H192" s="22" t="e">
        <f aca="false">G192*0.5144</f>
        <v>#NAME?</v>
      </c>
      <c r="I192" s="18" t="n">
        <v>0</v>
      </c>
    </row>
    <row r="193" customFormat="false" ht="12.75" hidden="false" customHeight="false" outlineLevel="0" collapsed="false">
      <c r="A193" s="0"/>
      <c r="B193" s="0"/>
      <c r="C193" s="0"/>
      <c r="D193" s="0"/>
      <c r="E193" s="0"/>
      <c r="F193" s="0"/>
      <c r="G193" s="22"/>
      <c r="H193" s="22"/>
      <c r="I193" s="0"/>
    </row>
    <row r="194" customFormat="false" ht="12.75" hidden="false" customHeight="false" outlineLevel="0" collapsed="false">
      <c r="A194" s="0"/>
      <c r="B194" s="0"/>
      <c r="C194" s="0"/>
      <c r="D194" s="0"/>
      <c r="E194" s="0"/>
      <c r="F194" s="0"/>
      <c r="G194" s="22"/>
      <c r="H194" s="22"/>
      <c r="I194" s="0"/>
    </row>
    <row r="195" customFormat="false" ht="12.75" hidden="false" customHeight="false" outlineLevel="0" collapsed="false">
      <c r="A195" s="0"/>
      <c r="B195" s="18" t="n">
        <v>1910</v>
      </c>
      <c r="C195" s="0"/>
      <c r="D195" s="0"/>
      <c r="E195" s="0"/>
      <c r="F195" s="0"/>
      <c r="G195" s="22"/>
      <c r="H195" s="22"/>
      <c r="I195" s="0"/>
    </row>
    <row r="196" customFormat="false" ht="12.75" hidden="false" customHeight="false" outlineLevel="0" collapsed="false">
      <c r="A196" s="18" t="n">
        <f aca="false">B196-0.25</f>
        <v>1</v>
      </c>
      <c r="B196" s="18" t="n">
        <v>1.25</v>
      </c>
      <c r="C196" s="18" t="n">
        <v>17</v>
      </c>
      <c r="D196" s="18" t="n">
        <v>-58.3</v>
      </c>
      <c r="E196" s="18" t="n">
        <v>60</v>
      </c>
      <c r="F196" s="18" t="n">
        <f aca="false">E196*0.5144</f>
        <v>30.864</v>
      </c>
      <c r="G196" s="22"/>
      <c r="H196" s="22"/>
      <c r="I196" s="18" t="n">
        <v>0</v>
      </c>
    </row>
    <row r="197" customFormat="false" ht="12.75" hidden="false" customHeight="false" outlineLevel="0" collapsed="false">
      <c r="A197" s="18" t="n">
        <f aca="false">B197-0.25</f>
        <v>1.25</v>
      </c>
      <c r="B197" s="18" t="n">
        <f aca="false">B196+0.25</f>
        <v>1.5</v>
      </c>
      <c r="C197" s="18" t="n">
        <v>17.1</v>
      </c>
      <c r="D197" s="18" t="n">
        <v>-59.5</v>
      </c>
      <c r="E197" s="18" t="n">
        <v>65</v>
      </c>
      <c r="F197" s="18" t="n">
        <f aca="false">E197*0.5144</f>
        <v>33.436</v>
      </c>
      <c r="G197" s="22" t="e">
        <f aca="false">arclethnm(C196,D196,C197,D197)/6</f>
        <v>#NAME?</v>
      </c>
      <c r="H197" s="22" t="e">
        <f aca="false">G197*0.5144</f>
        <v>#NAME?</v>
      </c>
      <c r="I197" s="18" t="n">
        <v>0</v>
      </c>
    </row>
    <row r="198" customFormat="false" ht="12.75" hidden="false" customHeight="false" outlineLevel="0" collapsed="false">
      <c r="A198" s="18" t="n">
        <f aca="false">B198-0.25</f>
        <v>1.5</v>
      </c>
      <c r="B198" s="18" t="n">
        <f aca="false">B197+0.25</f>
        <v>1.75</v>
      </c>
      <c r="C198" s="18" t="n">
        <v>17.1</v>
      </c>
      <c r="D198" s="18" t="n">
        <v>-60.6</v>
      </c>
      <c r="E198" s="18" t="n">
        <v>70</v>
      </c>
      <c r="F198" s="18" t="n">
        <f aca="false">E198*0.5144</f>
        <v>36.008</v>
      </c>
      <c r="G198" s="22" t="e">
        <f aca="false">arclethnm(C197,D197,C198,D198)/6</f>
        <v>#NAME?</v>
      </c>
      <c r="H198" s="22" t="e">
        <f aca="false">G198*0.5144</f>
        <v>#NAME?</v>
      </c>
      <c r="I198" s="18" t="n">
        <v>0</v>
      </c>
    </row>
    <row r="199" customFormat="false" ht="12.75" hidden="false" customHeight="false" outlineLevel="0" collapsed="false">
      <c r="A199" s="18" t="n">
        <f aca="false">B199-0.25</f>
        <v>1.75</v>
      </c>
      <c r="B199" s="18" t="n">
        <f aca="false">B198+0.25</f>
        <v>2</v>
      </c>
      <c r="C199" s="18" t="n">
        <v>17.1</v>
      </c>
      <c r="D199" s="18" t="n">
        <v>-61.7</v>
      </c>
      <c r="E199" s="18" t="n">
        <v>75</v>
      </c>
      <c r="F199" s="18" t="n">
        <f aca="false">E199*0.5144</f>
        <v>38.58</v>
      </c>
      <c r="G199" s="22" t="e">
        <f aca="false">arclethnm(C198,D198,C199,D199)/6</f>
        <v>#NAME?</v>
      </c>
      <c r="H199" s="22" t="e">
        <f aca="false">G199*0.5144</f>
        <v>#NAME?</v>
      </c>
      <c r="I199" s="18" t="n">
        <v>0</v>
      </c>
    </row>
    <row r="200" customFormat="false" ht="12.75" hidden="false" customHeight="false" outlineLevel="0" collapsed="false">
      <c r="A200" s="18" t="n">
        <f aca="false">B200-0.25</f>
        <v>2</v>
      </c>
      <c r="B200" s="18" t="n">
        <f aca="false">B199+0.25</f>
        <v>2.25</v>
      </c>
      <c r="C200" s="18" t="n">
        <v>17.2</v>
      </c>
      <c r="D200" s="18" t="n">
        <v>-62.7</v>
      </c>
      <c r="E200" s="18" t="n">
        <v>80</v>
      </c>
      <c r="F200" s="18" t="n">
        <f aca="false">E200*0.5144</f>
        <v>41.152</v>
      </c>
      <c r="G200" s="22" t="e">
        <f aca="false">arclethnm(C199,D199,C200,D200)/6</f>
        <v>#NAME?</v>
      </c>
      <c r="H200" s="22" t="e">
        <f aca="false">G200*0.5144</f>
        <v>#NAME?</v>
      </c>
      <c r="I200" s="18" t="n">
        <v>0</v>
      </c>
    </row>
    <row r="201" customFormat="false" ht="12.75" hidden="false" customHeight="false" outlineLevel="0" collapsed="false">
      <c r="A201" s="18" t="n">
        <f aca="false">B201-0.25</f>
        <v>2.25</v>
      </c>
      <c r="B201" s="18" t="n">
        <f aca="false">B200+0.25</f>
        <v>2.5</v>
      </c>
      <c r="C201" s="18" t="n">
        <v>17.4</v>
      </c>
      <c r="D201" s="18" t="n">
        <v>-63.8</v>
      </c>
      <c r="E201" s="18" t="n">
        <v>80</v>
      </c>
      <c r="F201" s="18" t="n">
        <f aca="false">E201*0.5144</f>
        <v>41.152</v>
      </c>
      <c r="G201" s="22" t="e">
        <f aca="false">arclethnm(C200,D200,C201,D201)/6</f>
        <v>#NAME?</v>
      </c>
      <c r="H201" s="22" t="e">
        <f aca="false">G201*0.5144</f>
        <v>#NAME?</v>
      </c>
      <c r="I201" s="18" t="n">
        <v>0</v>
      </c>
    </row>
    <row r="202" customFormat="false" ht="12.75" hidden="false" customHeight="false" outlineLevel="0" collapsed="false">
      <c r="A202" s="18" t="n">
        <f aca="false">B202-0.25</f>
        <v>2.5</v>
      </c>
      <c r="B202" s="18" t="n">
        <f aca="false">B201+0.25</f>
        <v>2.75</v>
      </c>
      <c r="C202" s="18" t="n">
        <v>17.5</v>
      </c>
      <c r="D202" s="18" t="n">
        <v>-64.9</v>
      </c>
      <c r="E202" s="18" t="n">
        <v>85</v>
      </c>
      <c r="F202" s="18" t="n">
        <f aca="false">E202*0.5144</f>
        <v>43.724</v>
      </c>
      <c r="G202" s="22" t="e">
        <f aca="false">arclethnm(C201,D201,C202,D202)/6</f>
        <v>#NAME?</v>
      </c>
      <c r="H202" s="22" t="e">
        <f aca="false">G202*0.5144</f>
        <v>#NAME?</v>
      </c>
      <c r="I202" s="18" t="n">
        <v>0</v>
      </c>
    </row>
    <row r="203" customFormat="false" ht="12.75" hidden="false" customHeight="false" outlineLevel="0" collapsed="false">
      <c r="A203" s="18" t="n">
        <f aca="false">B203-0.25</f>
        <v>2.75</v>
      </c>
      <c r="B203" s="18" t="n">
        <f aca="false">B202+0.25</f>
        <v>3</v>
      </c>
      <c r="C203" s="18" t="n">
        <v>17.5</v>
      </c>
      <c r="D203" s="18" t="n">
        <v>-66</v>
      </c>
      <c r="E203" s="18" t="n">
        <v>85</v>
      </c>
      <c r="F203" s="18" t="n">
        <f aca="false">E203*0.5144</f>
        <v>43.724</v>
      </c>
      <c r="G203" s="22" t="e">
        <f aca="false">arclethnm(C202,D202,C203,D203)/6</f>
        <v>#NAME?</v>
      </c>
      <c r="H203" s="22" t="e">
        <f aca="false">G203*0.5144</f>
        <v>#NAME?</v>
      </c>
      <c r="I203" s="18" t="n">
        <v>0</v>
      </c>
    </row>
    <row r="204" customFormat="false" ht="12.75" hidden="false" customHeight="false" outlineLevel="0" collapsed="false">
      <c r="A204" s="18" t="n">
        <f aca="false">B204-0.25</f>
        <v>3</v>
      </c>
      <c r="B204" s="18" t="n">
        <f aca="false">B203+0.25</f>
        <v>3.25</v>
      </c>
      <c r="C204" s="18" t="n">
        <v>17.6</v>
      </c>
      <c r="D204" s="18" t="n">
        <v>-67.1</v>
      </c>
      <c r="E204" s="18" t="n">
        <v>85</v>
      </c>
      <c r="F204" s="18" t="n">
        <f aca="false">E204*0.5144</f>
        <v>43.724</v>
      </c>
      <c r="G204" s="22" t="e">
        <f aca="false">arclethnm(C203,D203,C204,D204)/6</f>
        <v>#NAME?</v>
      </c>
      <c r="H204" s="22" t="e">
        <f aca="false">G204*0.5144</f>
        <v>#NAME?</v>
      </c>
      <c r="I204" s="18" t="n">
        <v>0</v>
      </c>
    </row>
    <row r="205" customFormat="false" ht="12.75" hidden="false" customHeight="false" outlineLevel="0" collapsed="false">
      <c r="A205" s="18" t="n">
        <f aca="false">B205-0.25</f>
        <v>3.25</v>
      </c>
      <c r="B205" s="18" t="n">
        <f aca="false">B204+0.25</f>
        <v>3.5</v>
      </c>
      <c r="C205" s="18" t="n">
        <v>17.6</v>
      </c>
      <c r="D205" s="18" t="n">
        <v>-68.2</v>
      </c>
      <c r="E205" s="18" t="n">
        <v>80</v>
      </c>
      <c r="F205" s="18" t="n">
        <f aca="false">E205*0.5144</f>
        <v>41.152</v>
      </c>
      <c r="G205" s="22" t="e">
        <f aca="false">arclethnm(C204,D204,C205,D205)/6</f>
        <v>#NAME?</v>
      </c>
      <c r="H205" s="22" t="e">
        <f aca="false">G205*0.5144</f>
        <v>#NAME?</v>
      </c>
      <c r="I205" s="18" t="n">
        <v>0</v>
      </c>
    </row>
    <row r="206" customFormat="false" ht="12.75" hidden="false" customHeight="false" outlineLevel="0" collapsed="false">
      <c r="A206" s="18" t="n">
        <f aca="false">B206-0.25</f>
        <v>3.5</v>
      </c>
      <c r="B206" s="18" t="n">
        <f aca="false">B205+0.25</f>
        <v>3.75</v>
      </c>
      <c r="C206" s="18" t="n">
        <v>17.6</v>
      </c>
      <c r="D206" s="18" t="n">
        <v>-69.7</v>
      </c>
      <c r="E206" s="18" t="n">
        <v>75</v>
      </c>
      <c r="F206" s="18" t="n">
        <f aca="false">E206*0.5144</f>
        <v>38.58</v>
      </c>
      <c r="G206" s="22" t="e">
        <f aca="false">arclethnm(C205,D205,C206,D206)/6</f>
        <v>#NAME?</v>
      </c>
      <c r="H206" s="22" t="e">
        <f aca="false">G206*0.5144</f>
        <v>#NAME?</v>
      </c>
      <c r="I206" s="18" t="n">
        <v>0</v>
      </c>
    </row>
    <row r="207" customFormat="false" ht="12.75" hidden="false" customHeight="false" outlineLevel="0" collapsed="false">
      <c r="A207" s="18" t="n">
        <f aca="false">B207-0.25</f>
        <v>3.75</v>
      </c>
      <c r="B207" s="18" t="n">
        <f aca="false">B206+0.25</f>
        <v>4</v>
      </c>
      <c r="C207" s="18" t="n">
        <v>17.7</v>
      </c>
      <c r="D207" s="18" t="n">
        <v>-71.2</v>
      </c>
      <c r="E207" s="18" t="n">
        <v>70</v>
      </c>
      <c r="F207" s="18" t="n">
        <f aca="false">E207*0.5144</f>
        <v>36.008</v>
      </c>
      <c r="G207" s="22" t="e">
        <f aca="false">arclethnm(C206,D206,C207,D207)/6</f>
        <v>#NAME?</v>
      </c>
      <c r="H207" s="22" t="e">
        <f aca="false">G207*0.5144</f>
        <v>#NAME?</v>
      </c>
      <c r="I207" s="18" t="n">
        <v>0</v>
      </c>
    </row>
    <row r="208" customFormat="false" ht="12.75" hidden="false" customHeight="false" outlineLevel="0" collapsed="false">
      <c r="A208" s="18" t="n">
        <f aca="false">B208-0.25</f>
        <v>4</v>
      </c>
      <c r="B208" s="18" t="n">
        <f aca="false">B207+0.25</f>
        <v>4.25</v>
      </c>
      <c r="C208" s="18" t="n">
        <v>17.8</v>
      </c>
      <c r="D208" s="18" t="n">
        <v>-72.9</v>
      </c>
      <c r="E208" s="18" t="n">
        <v>70</v>
      </c>
      <c r="F208" s="18" t="n">
        <f aca="false">E208*0.5144</f>
        <v>36.008</v>
      </c>
      <c r="G208" s="22" t="e">
        <f aca="false">arclethnm(C207,D207,C208,D208)/6</f>
        <v>#NAME?</v>
      </c>
      <c r="H208" s="22" t="e">
        <f aca="false">G208*0.5144</f>
        <v>#NAME?</v>
      </c>
      <c r="I208" s="18" t="n">
        <v>0</v>
      </c>
    </row>
    <row r="209" customFormat="false" ht="12.75" hidden="false" customHeight="false" outlineLevel="0" collapsed="false">
      <c r="A209" s="18" t="n">
        <f aca="false">B209-0.25</f>
        <v>4.25</v>
      </c>
      <c r="B209" s="18" t="n">
        <f aca="false">B208+0.25</f>
        <v>4.5</v>
      </c>
      <c r="C209" s="18" t="n">
        <v>18</v>
      </c>
      <c r="D209" s="18" t="n">
        <v>-74.7</v>
      </c>
      <c r="E209" s="18" t="n">
        <v>70</v>
      </c>
      <c r="F209" s="18" t="n">
        <f aca="false">E209*0.5144</f>
        <v>36.008</v>
      </c>
      <c r="G209" s="22" t="e">
        <f aca="false">arclethnm(C208,D208,C209,D209)/6</f>
        <v>#NAME?</v>
      </c>
      <c r="H209" s="22" t="e">
        <f aca="false">G209*0.5144</f>
        <v>#NAME?</v>
      </c>
      <c r="I209" s="18" t="n">
        <v>0</v>
      </c>
    </row>
    <row r="210" customFormat="false" ht="12.75" hidden="false" customHeight="false" outlineLevel="0" collapsed="false">
      <c r="A210" s="18" t="n">
        <f aca="false">B210-0.25</f>
        <v>4.5</v>
      </c>
      <c r="B210" s="18" t="n">
        <f aca="false">B209+0.25</f>
        <v>4.75</v>
      </c>
      <c r="C210" s="18" t="n">
        <v>18.3</v>
      </c>
      <c r="D210" s="18" t="n">
        <v>-76.4</v>
      </c>
      <c r="E210" s="18" t="n">
        <v>70</v>
      </c>
      <c r="F210" s="18" t="n">
        <f aca="false">E210*0.5144</f>
        <v>36.008</v>
      </c>
      <c r="G210" s="22" t="e">
        <f aca="false">arclethnm(C209,D209,C210,D210)/6</f>
        <v>#NAME?</v>
      </c>
      <c r="H210" s="22" t="e">
        <f aca="false">G210*0.5144</f>
        <v>#NAME?</v>
      </c>
      <c r="I210" s="18" t="n">
        <v>0</v>
      </c>
    </row>
    <row r="211" customFormat="false" ht="12.75" hidden="false" customHeight="false" outlineLevel="0" collapsed="false">
      <c r="A211" s="18" t="n">
        <f aca="false">B211-0.25</f>
        <v>4.75</v>
      </c>
      <c r="B211" s="18" t="n">
        <f aca="false">B210+0.25</f>
        <v>5</v>
      </c>
      <c r="C211" s="18" t="n">
        <v>18.6</v>
      </c>
      <c r="D211" s="18" t="n">
        <v>-77.8</v>
      </c>
      <c r="E211" s="18" t="n">
        <v>70</v>
      </c>
      <c r="F211" s="18" t="n">
        <f aca="false">E211*0.5144</f>
        <v>36.008</v>
      </c>
      <c r="G211" s="22" t="e">
        <f aca="false">arclethnm(C210,D210,C211,D211)/6</f>
        <v>#NAME?</v>
      </c>
      <c r="H211" s="22" t="e">
        <f aca="false">G211*0.5144</f>
        <v>#NAME?</v>
      </c>
      <c r="I211" s="18" t="n">
        <v>0</v>
      </c>
    </row>
    <row r="212" customFormat="false" ht="12.75" hidden="false" customHeight="false" outlineLevel="0" collapsed="false">
      <c r="A212" s="18" t="n">
        <f aca="false">B212-0.25</f>
        <v>5</v>
      </c>
      <c r="B212" s="18" t="n">
        <f aca="false">B211+0.25</f>
        <v>5.25</v>
      </c>
      <c r="C212" s="18" t="n">
        <v>19</v>
      </c>
      <c r="D212" s="18" t="n">
        <v>-79.2</v>
      </c>
      <c r="E212" s="18" t="n">
        <v>70</v>
      </c>
      <c r="F212" s="18" t="n">
        <f aca="false">E212*0.5144</f>
        <v>36.008</v>
      </c>
      <c r="G212" s="22" t="e">
        <f aca="false">arclethnm(C211,D211,C212,D212)/6</f>
        <v>#NAME?</v>
      </c>
      <c r="H212" s="22" t="e">
        <f aca="false">G212*0.5144</f>
        <v>#NAME?</v>
      </c>
      <c r="I212" s="18" t="n">
        <v>0</v>
      </c>
    </row>
    <row r="213" customFormat="false" ht="12.75" hidden="false" customHeight="false" outlineLevel="0" collapsed="false">
      <c r="A213" s="18" t="n">
        <f aca="false">B213-0.25</f>
        <v>5.25</v>
      </c>
      <c r="B213" s="18" t="n">
        <f aca="false">B212+0.25</f>
        <v>5.5</v>
      </c>
      <c r="C213" s="18" t="n">
        <v>19.5</v>
      </c>
      <c r="D213" s="18" t="n">
        <v>-80.7</v>
      </c>
      <c r="E213" s="18" t="n">
        <v>70</v>
      </c>
      <c r="F213" s="18" t="n">
        <f aca="false">E213*0.5144</f>
        <v>36.008</v>
      </c>
      <c r="G213" s="22" t="e">
        <f aca="false">arclethnm(C212,D212,C213,D213)/6</f>
        <v>#NAME?</v>
      </c>
      <c r="H213" s="22" t="e">
        <f aca="false">G213*0.5144</f>
        <v>#NAME?</v>
      </c>
      <c r="I213" s="18" t="n">
        <v>0</v>
      </c>
    </row>
    <row r="214" customFormat="false" ht="12.75" hidden="false" customHeight="false" outlineLevel="0" collapsed="false">
      <c r="A214" s="18" t="n">
        <f aca="false">B214-0.25</f>
        <v>5.5</v>
      </c>
      <c r="B214" s="18" t="n">
        <f aca="false">B213+0.25</f>
        <v>5.75</v>
      </c>
      <c r="C214" s="18" t="n">
        <v>20</v>
      </c>
      <c r="D214" s="18" t="n">
        <v>-81.8</v>
      </c>
      <c r="E214" s="18" t="n">
        <v>70</v>
      </c>
      <c r="F214" s="18" t="n">
        <f aca="false">E214*0.5144</f>
        <v>36.008</v>
      </c>
      <c r="G214" s="22" t="e">
        <f aca="false">arclethnm(C213,D213,C214,D214)/6</f>
        <v>#NAME?</v>
      </c>
      <c r="H214" s="22" t="e">
        <f aca="false">G214*0.5144</f>
        <v>#NAME?</v>
      </c>
      <c r="I214" s="18" t="n">
        <v>0</v>
      </c>
    </row>
    <row r="215" customFormat="false" ht="12.75" hidden="false" customHeight="false" outlineLevel="0" collapsed="false">
      <c r="A215" s="18" t="n">
        <f aca="false">B215-0.25</f>
        <v>5.75</v>
      </c>
      <c r="B215" s="18" t="n">
        <f aca="false">B214+0.25</f>
        <v>6</v>
      </c>
      <c r="C215" s="18" t="n">
        <v>20.5</v>
      </c>
      <c r="D215" s="18" t="n">
        <v>-82.9</v>
      </c>
      <c r="E215" s="18" t="n">
        <v>70</v>
      </c>
      <c r="F215" s="18" t="n">
        <f aca="false">E215*0.5144</f>
        <v>36.008</v>
      </c>
      <c r="G215" s="22" t="e">
        <f aca="false">arclethnm(C214,D214,C215,D215)/6</f>
        <v>#NAME?</v>
      </c>
      <c r="H215" s="22" t="e">
        <f aca="false">G215*0.5144</f>
        <v>#NAME?</v>
      </c>
      <c r="I215" s="18" t="n">
        <v>0</v>
      </c>
    </row>
    <row r="216" customFormat="false" ht="12.75" hidden="false" customHeight="false" outlineLevel="0" collapsed="false">
      <c r="A216" s="18" t="n">
        <f aca="false">B216-0.25</f>
        <v>6</v>
      </c>
      <c r="B216" s="18" t="n">
        <f aca="false">B215+0.25</f>
        <v>6.25</v>
      </c>
      <c r="C216" s="18" t="n">
        <v>20.9</v>
      </c>
      <c r="D216" s="18" t="n">
        <v>-83.8</v>
      </c>
      <c r="E216" s="18" t="n">
        <v>75</v>
      </c>
      <c r="F216" s="18" t="n">
        <f aca="false">E216*0.5144</f>
        <v>38.58</v>
      </c>
      <c r="G216" s="22" t="e">
        <f aca="false">arclethnm(C215,D215,C216,D216)/6</f>
        <v>#NAME?</v>
      </c>
      <c r="H216" s="22" t="e">
        <f aca="false">G216*0.5144</f>
        <v>#NAME?</v>
      </c>
      <c r="I216" s="18" t="n">
        <v>0</v>
      </c>
    </row>
    <row r="217" customFormat="false" ht="12.75" hidden="false" customHeight="false" outlineLevel="0" collapsed="false">
      <c r="A217" s="18" t="n">
        <f aca="false">B217-0.25</f>
        <v>6.25</v>
      </c>
      <c r="B217" s="18" t="n">
        <f aca="false">B216+0.25</f>
        <v>6.5</v>
      </c>
      <c r="C217" s="18" t="n">
        <v>21.3</v>
      </c>
      <c r="D217" s="18" t="n">
        <v>-84.7</v>
      </c>
      <c r="E217" s="18" t="n">
        <v>80</v>
      </c>
      <c r="F217" s="18" t="n">
        <f aca="false">E217*0.5144</f>
        <v>41.152</v>
      </c>
      <c r="G217" s="22" t="e">
        <f aca="false">arclethnm(C216,D216,C217,D217)/6</f>
        <v>#NAME?</v>
      </c>
      <c r="H217" s="22" t="e">
        <f aca="false">G217*0.5144</f>
        <v>#NAME?</v>
      </c>
      <c r="I217" s="18" t="n">
        <v>0</v>
      </c>
    </row>
    <row r="218" customFormat="false" ht="12.75" hidden="false" customHeight="false" outlineLevel="0" collapsed="false">
      <c r="A218" s="18" t="n">
        <f aca="false">B218-0.25</f>
        <v>6.5</v>
      </c>
      <c r="B218" s="18" t="n">
        <f aca="false">B217+0.25</f>
        <v>6.75</v>
      </c>
      <c r="C218" s="18" t="n">
        <v>21.7</v>
      </c>
      <c r="D218" s="18" t="n">
        <v>-85.1</v>
      </c>
      <c r="E218" s="18" t="n">
        <v>80</v>
      </c>
      <c r="F218" s="18" t="n">
        <f aca="false">E218*0.5144</f>
        <v>41.152</v>
      </c>
      <c r="G218" s="22" t="e">
        <f aca="false">arclethnm(C217,D217,C218,D218)/6</f>
        <v>#NAME?</v>
      </c>
      <c r="H218" s="22" t="e">
        <f aca="false">G218*0.5144</f>
        <v>#NAME?</v>
      </c>
      <c r="I218" s="18" t="n">
        <v>0</v>
      </c>
    </row>
    <row r="219" customFormat="false" ht="12.75" hidden="false" customHeight="false" outlineLevel="0" collapsed="false">
      <c r="A219" s="18" t="n">
        <f aca="false">B219-0.25</f>
        <v>6.75</v>
      </c>
      <c r="B219" s="18" t="n">
        <f aca="false">B218+0.25</f>
        <v>7</v>
      </c>
      <c r="C219" s="18" t="n">
        <v>22.1</v>
      </c>
      <c r="D219" s="18" t="n">
        <v>-85.6</v>
      </c>
      <c r="E219" s="18" t="n">
        <v>85</v>
      </c>
      <c r="F219" s="18" t="n">
        <f aca="false">E219*0.5144</f>
        <v>43.724</v>
      </c>
      <c r="G219" s="22" t="e">
        <f aca="false">arclethnm(C218,D218,C219,D219)/6</f>
        <v>#NAME?</v>
      </c>
      <c r="H219" s="22" t="e">
        <f aca="false">G219*0.5144</f>
        <v>#NAME?</v>
      </c>
      <c r="I219" s="18" t="n">
        <v>0</v>
      </c>
    </row>
    <row r="220" customFormat="false" ht="12.75" hidden="false" customHeight="false" outlineLevel="0" collapsed="false">
      <c r="A220" s="18" t="n">
        <f aca="false">B220-0.25</f>
        <v>7</v>
      </c>
      <c r="B220" s="18" t="n">
        <f aca="false">B219+0.25</f>
        <v>7.25</v>
      </c>
      <c r="C220" s="18" t="n">
        <v>22.5</v>
      </c>
      <c r="D220" s="18" t="n">
        <v>-86.2</v>
      </c>
      <c r="E220" s="18" t="n">
        <v>85</v>
      </c>
      <c r="F220" s="18" t="n">
        <f aca="false">E220*0.5144</f>
        <v>43.724</v>
      </c>
      <c r="G220" s="22" t="e">
        <f aca="false">arclethnm(C219,D219,C220,D220)/6</f>
        <v>#NAME?</v>
      </c>
      <c r="H220" s="22" t="e">
        <f aca="false">G220*0.5144</f>
        <v>#NAME?</v>
      </c>
      <c r="I220" s="18" t="n">
        <v>0</v>
      </c>
    </row>
    <row r="221" customFormat="false" ht="12.75" hidden="false" customHeight="false" outlineLevel="0" collapsed="false">
      <c r="A221" s="18" t="n">
        <f aca="false">B221-0.25</f>
        <v>7.25</v>
      </c>
      <c r="B221" s="18" t="n">
        <f aca="false">B220+0.25</f>
        <v>7.5</v>
      </c>
      <c r="C221" s="18" t="n">
        <v>22.9</v>
      </c>
      <c r="D221" s="18" t="n">
        <v>-87</v>
      </c>
      <c r="E221" s="18" t="n">
        <v>85</v>
      </c>
      <c r="F221" s="18" t="n">
        <f aca="false">E221*0.5144</f>
        <v>43.724</v>
      </c>
      <c r="G221" s="22" t="e">
        <f aca="false">arclethnm(C220,D220,C221,D221)/6</f>
        <v>#NAME?</v>
      </c>
      <c r="H221" s="22" t="e">
        <f aca="false">G221*0.5144</f>
        <v>#NAME?</v>
      </c>
      <c r="I221" s="18" t="n">
        <v>0</v>
      </c>
    </row>
    <row r="222" customFormat="false" ht="12.75" hidden="false" customHeight="false" outlineLevel="0" collapsed="false">
      <c r="A222" s="18" t="n">
        <f aca="false">B222-0.25</f>
        <v>7.5</v>
      </c>
      <c r="B222" s="18" t="n">
        <f aca="false">B221+0.25</f>
        <v>7.75</v>
      </c>
      <c r="C222" s="18" t="n">
        <v>23.2</v>
      </c>
      <c r="D222" s="18" t="n">
        <v>-87.6</v>
      </c>
      <c r="E222" s="18" t="n">
        <v>85</v>
      </c>
      <c r="F222" s="18" t="n">
        <f aca="false">E222*0.5144</f>
        <v>43.724</v>
      </c>
      <c r="G222" s="22" t="e">
        <f aca="false">arclethnm(C221,D221,C222,D222)/6</f>
        <v>#NAME?</v>
      </c>
      <c r="H222" s="22" t="e">
        <f aca="false">G222*0.5144</f>
        <v>#NAME?</v>
      </c>
      <c r="I222" s="18" t="n">
        <v>0</v>
      </c>
    </row>
    <row r="223" customFormat="false" ht="12.75" hidden="false" customHeight="false" outlineLevel="0" collapsed="false">
      <c r="A223" s="18" t="n">
        <f aca="false">B223-0.25</f>
        <v>7.75</v>
      </c>
      <c r="B223" s="18" t="n">
        <f aca="false">B222+0.25</f>
        <v>8</v>
      </c>
      <c r="C223" s="18" t="n">
        <v>23.6</v>
      </c>
      <c r="D223" s="18" t="n">
        <v>-88.3</v>
      </c>
      <c r="E223" s="18" t="n">
        <v>90</v>
      </c>
      <c r="F223" s="18" t="n">
        <f aca="false">E223*0.5144</f>
        <v>46.296</v>
      </c>
      <c r="G223" s="22" t="e">
        <f aca="false">arclethnm(C222,D222,C223,D223)/6</f>
        <v>#NAME?</v>
      </c>
      <c r="H223" s="22" t="e">
        <f aca="false">G223*0.5144</f>
        <v>#NAME?</v>
      </c>
      <c r="I223" s="18" t="n">
        <v>0</v>
      </c>
    </row>
    <row r="224" customFormat="false" ht="12.75" hidden="false" customHeight="false" outlineLevel="0" collapsed="false">
      <c r="A224" s="18" t="n">
        <f aca="false">B224-0.25</f>
        <v>8</v>
      </c>
      <c r="B224" s="18" t="n">
        <f aca="false">B223+0.25</f>
        <v>8.25</v>
      </c>
      <c r="C224" s="18" t="n">
        <v>24</v>
      </c>
      <c r="D224" s="18" t="n">
        <v>-88.9</v>
      </c>
      <c r="E224" s="18" t="n">
        <v>90</v>
      </c>
      <c r="F224" s="18" t="n">
        <f aca="false">E224*0.5144</f>
        <v>46.296</v>
      </c>
      <c r="G224" s="22" t="e">
        <f aca="false">arclethnm(C223,D223,C224,D224)/6</f>
        <v>#NAME?</v>
      </c>
      <c r="H224" s="22" t="e">
        <f aca="false">G224*0.5144</f>
        <v>#NAME?</v>
      </c>
      <c r="I224" s="18" t="n">
        <v>0</v>
      </c>
    </row>
    <row r="225" customFormat="false" ht="12.75" hidden="false" customHeight="false" outlineLevel="0" collapsed="false">
      <c r="A225" s="18" t="n">
        <f aca="false">B225-0.25</f>
        <v>8.25</v>
      </c>
      <c r="B225" s="18" t="n">
        <f aca="false">B224+0.25</f>
        <v>8.5</v>
      </c>
      <c r="C225" s="18" t="n">
        <v>24.4</v>
      </c>
      <c r="D225" s="18" t="n">
        <v>-89.5</v>
      </c>
      <c r="E225" s="18" t="n">
        <v>95</v>
      </c>
      <c r="F225" s="18" t="n">
        <f aca="false">E225*0.5144</f>
        <v>48.868</v>
      </c>
      <c r="G225" s="22" t="e">
        <f aca="false">arclethnm(C224,D224,C225,D225)/6</f>
        <v>#NAME?</v>
      </c>
      <c r="H225" s="22" t="e">
        <f aca="false">G225*0.5144</f>
        <v>#NAME?</v>
      </c>
      <c r="I225" s="18" t="n">
        <v>0</v>
      </c>
    </row>
    <row r="226" customFormat="false" ht="12.75" hidden="false" customHeight="false" outlineLevel="0" collapsed="false">
      <c r="A226" s="18" t="n">
        <f aca="false">B226-0.25</f>
        <v>8.5</v>
      </c>
      <c r="B226" s="18" t="n">
        <f aca="false">B225+0.25</f>
        <v>8.75</v>
      </c>
      <c r="C226" s="18" t="n">
        <v>24.9</v>
      </c>
      <c r="D226" s="18" t="n">
        <v>-90.3</v>
      </c>
      <c r="E226" s="18" t="n">
        <v>95</v>
      </c>
      <c r="F226" s="18" t="n">
        <f aca="false">E226*0.5144</f>
        <v>48.868</v>
      </c>
      <c r="G226" s="22" t="e">
        <f aca="false">arclethnm(C225,D225,C226,D226)/6</f>
        <v>#NAME?</v>
      </c>
      <c r="H226" s="22" t="e">
        <f aca="false">G226*0.5144</f>
        <v>#NAME?</v>
      </c>
      <c r="I226" s="18" t="n">
        <v>0</v>
      </c>
    </row>
    <row r="227" customFormat="false" ht="12.75" hidden="false" customHeight="false" outlineLevel="0" collapsed="false">
      <c r="A227" s="18" t="n">
        <f aca="false">B227-0.25</f>
        <v>8.75</v>
      </c>
      <c r="B227" s="18" t="n">
        <f aca="false">B226+0.25</f>
        <v>9</v>
      </c>
      <c r="C227" s="18" t="n">
        <v>25.3</v>
      </c>
      <c r="D227" s="18" t="n">
        <v>-91.2</v>
      </c>
      <c r="E227" s="18" t="n">
        <v>95</v>
      </c>
      <c r="F227" s="18" t="n">
        <f aca="false">E227*0.5144</f>
        <v>48.868</v>
      </c>
      <c r="G227" s="22" t="e">
        <f aca="false">arclethnm(C226,D226,C227,D227)/6</f>
        <v>#NAME?</v>
      </c>
      <c r="H227" s="22" t="e">
        <f aca="false">G227*0.5144</f>
        <v>#NAME?</v>
      </c>
      <c r="I227" s="18" t="n">
        <v>0</v>
      </c>
    </row>
    <row r="228" customFormat="false" ht="12.75" hidden="false" customHeight="false" outlineLevel="0" collapsed="false">
      <c r="A228" s="18" t="n">
        <f aca="false">B228-0.25</f>
        <v>9</v>
      </c>
      <c r="B228" s="18" t="n">
        <f aca="false">B227+0.25</f>
        <v>9.25</v>
      </c>
      <c r="C228" s="18" t="n">
        <v>25.7</v>
      </c>
      <c r="D228" s="18" t="n">
        <v>-91.8</v>
      </c>
      <c r="E228" s="18" t="n">
        <v>95</v>
      </c>
      <c r="F228" s="18" t="n">
        <f aca="false">E228*0.5144</f>
        <v>48.868</v>
      </c>
      <c r="G228" s="22" t="e">
        <f aca="false">arclethnm(C227,D227,C228,D228)/6</f>
        <v>#NAME?</v>
      </c>
      <c r="H228" s="22" t="e">
        <f aca="false">G228*0.5144</f>
        <v>#NAME?</v>
      </c>
      <c r="I228" s="18" t="n">
        <v>0</v>
      </c>
    </row>
    <row r="229" customFormat="false" ht="12.75" hidden="false" customHeight="false" outlineLevel="0" collapsed="false">
      <c r="A229" s="18" t="n">
        <f aca="false">B229-0.25</f>
        <v>9.25</v>
      </c>
      <c r="B229" s="18" t="n">
        <f aca="false">B228+0.25</f>
        <v>9.5</v>
      </c>
      <c r="C229" s="18" t="n">
        <v>26</v>
      </c>
      <c r="D229" s="18" t="n">
        <v>-92.5</v>
      </c>
      <c r="E229" s="18" t="n">
        <v>95</v>
      </c>
      <c r="F229" s="18" t="n">
        <f aca="false">E229*0.5144</f>
        <v>48.868</v>
      </c>
      <c r="G229" s="22" t="e">
        <f aca="false">arclethnm(C228,D228,C229,D229)/6</f>
        <v>#NAME?</v>
      </c>
      <c r="H229" s="22" t="e">
        <f aca="false">G229*0.5144</f>
        <v>#NAME?</v>
      </c>
      <c r="I229" s="18" t="n">
        <v>0</v>
      </c>
    </row>
    <row r="230" customFormat="false" ht="12.75" hidden="false" customHeight="false" outlineLevel="0" collapsed="false">
      <c r="A230" s="18" t="n">
        <f aca="false">B230-0.25</f>
        <v>9.5</v>
      </c>
      <c r="B230" s="18" t="n">
        <f aca="false">B229+0.25</f>
        <v>9.75</v>
      </c>
      <c r="C230" s="18" t="n">
        <v>26.2</v>
      </c>
      <c r="D230" s="18" t="n">
        <v>-93.4</v>
      </c>
      <c r="E230" s="18" t="n">
        <v>95</v>
      </c>
      <c r="F230" s="18" t="n">
        <f aca="false">E230*0.5144</f>
        <v>48.868</v>
      </c>
      <c r="G230" s="22" t="e">
        <f aca="false">arclethnm(C229,D229,C230,D230)/6</f>
        <v>#NAME?</v>
      </c>
      <c r="H230" s="22" t="e">
        <f aca="false">G230*0.5144</f>
        <v>#NAME?</v>
      </c>
      <c r="I230" s="18" t="n">
        <v>0</v>
      </c>
    </row>
    <row r="231" customFormat="false" ht="12.75" hidden="false" customHeight="false" outlineLevel="0" collapsed="false">
      <c r="A231" s="18" t="n">
        <f aca="false">B231-0.25</f>
        <v>9.75</v>
      </c>
      <c r="B231" s="18" t="n">
        <f aca="false">B230+0.25</f>
        <v>10</v>
      </c>
      <c r="C231" s="18" t="n">
        <v>26.3</v>
      </c>
      <c r="D231" s="18" t="n">
        <v>-94.3</v>
      </c>
      <c r="E231" s="18" t="n">
        <v>90</v>
      </c>
      <c r="F231" s="18" t="n">
        <f aca="false">E231*0.5144</f>
        <v>46.296</v>
      </c>
      <c r="G231" s="22" t="e">
        <f aca="false">arclethnm(C230,D230,C231,D231)/6</f>
        <v>#NAME?</v>
      </c>
      <c r="H231" s="22" t="e">
        <f aca="false">G231*0.5144</f>
        <v>#NAME?</v>
      </c>
      <c r="I231" s="18" t="n">
        <v>0</v>
      </c>
    </row>
    <row r="232" customFormat="false" ht="12.75" hidden="false" customHeight="false" outlineLevel="0" collapsed="false">
      <c r="A232" s="18" t="n">
        <f aca="false">B232-0.25</f>
        <v>10</v>
      </c>
      <c r="B232" s="18" t="n">
        <f aca="false">B231+0.25</f>
        <v>10.25</v>
      </c>
      <c r="C232" s="18" t="n">
        <v>26.5</v>
      </c>
      <c r="D232" s="18" t="n">
        <v>-95.3</v>
      </c>
      <c r="E232" s="18" t="n">
        <v>90</v>
      </c>
      <c r="F232" s="18" t="n">
        <f aca="false">E232*0.5144</f>
        <v>46.296</v>
      </c>
      <c r="G232" s="22" t="e">
        <f aca="false">arclethnm(C231,D231,C232,D232)/6</f>
        <v>#NAME?</v>
      </c>
      <c r="H232" s="22" t="e">
        <f aca="false">G232*0.5144</f>
        <v>#NAME?</v>
      </c>
      <c r="I232" s="18" t="n">
        <v>0</v>
      </c>
    </row>
    <row r="233" customFormat="false" ht="12.75" hidden="false" customHeight="false" outlineLevel="0" collapsed="false">
      <c r="A233" s="18" t="n">
        <f aca="false">B233-0.25</f>
        <v>10.25</v>
      </c>
      <c r="B233" s="18" t="n">
        <f aca="false">B232+0.25</f>
        <v>10.5</v>
      </c>
      <c r="C233" s="18" t="n">
        <v>26.6</v>
      </c>
      <c r="D233" s="18" t="n">
        <v>-96.3</v>
      </c>
      <c r="E233" s="18" t="n">
        <v>90</v>
      </c>
      <c r="F233" s="18" t="n">
        <f aca="false">E233*0.5144</f>
        <v>46.296</v>
      </c>
      <c r="G233" s="22" t="e">
        <f aca="false">arclethnm(C232,D232,C233,D233)/6</f>
        <v>#NAME?</v>
      </c>
      <c r="H233" s="22" t="e">
        <f aca="false">G233*0.5144</f>
        <v>#NAME?</v>
      </c>
      <c r="I233" s="18" t="n">
        <v>0</v>
      </c>
    </row>
    <row r="234" customFormat="false" ht="12.75" hidden="false" customHeight="false" outlineLevel="0" collapsed="false">
      <c r="A234" s="18" t="n">
        <f aca="false">B234-0.25</f>
        <v>10.5</v>
      </c>
      <c r="B234" s="18" t="n">
        <f aca="false">B233+0.25</f>
        <v>10.75</v>
      </c>
      <c r="C234" s="18" t="n">
        <v>26.8</v>
      </c>
      <c r="D234" s="18" t="n">
        <v>-96.9</v>
      </c>
      <c r="E234" s="18" t="n">
        <v>90</v>
      </c>
      <c r="F234" s="18" t="n">
        <f aca="false">E234*0.5144</f>
        <v>46.296</v>
      </c>
      <c r="G234" s="22" t="e">
        <f aca="false">arclethnm(C233,D233,C234,D234)/6</f>
        <v>#NAME?</v>
      </c>
      <c r="H234" s="22" t="e">
        <f aca="false">G234*0.5144</f>
        <v>#NAME?</v>
      </c>
      <c r="I234" s="18" t="n">
        <v>0</v>
      </c>
    </row>
    <row r="235" customFormat="false" ht="12.75" hidden="false" customHeight="false" outlineLevel="0" collapsed="false">
      <c r="A235" s="18" t="n">
        <f aca="false">B235-0.25</f>
        <v>10.75</v>
      </c>
      <c r="B235" s="18" t="n">
        <f aca="false">B234+0.25</f>
        <v>11</v>
      </c>
      <c r="C235" s="18" t="n">
        <v>26.9</v>
      </c>
      <c r="D235" s="18" t="n">
        <v>-94.7</v>
      </c>
      <c r="E235" s="18" t="n">
        <v>90</v>
      </c>
      <c r="F235" s="18" t="n">
        <f aca="false">E235*0.5144</f>
        <v>46.296</v>
      </c>
      <c r="G235" s="22" t="e">
        <f aca="false">arclethnm(C234,D234,C235,D235)/6</f>
        <v>#NAME?</v>
      </c>
      <c r="H235" s="22" t="e">
        <f aca="false">G235*0.5144</f>
        <v>#NAME?</v>
      </c>
      <c r="I235" s="18" t="n">
        <v>0</v>
      </c>
    </row>
    <row r="236" customFormat="false" ht="12.75" hidden="false" customHeight="false" outlineLevel="0" collapsed="false">
      <c r="A236" s="18" t="n">
        <f aca="false">B236-0.25</f>
        <v>11</v>
      </c>
      <c r="B236" s="18" t="n">
        <f aca="false">B235+0.25</f>
        <v>11.25</v>
      </c>
      <c r="C236" s="18" t="n">
        <v>26.9</v>
      </c>
      <c r="D236" s="18" t="n">
        <v>-97.6</v>
      </c>
      <c r="E236" s="18" t="n">
        <v>65</v>
      </c>
      <c r="F236" s="18" t="n">
        <f aca="false">E236*0.5144</f>
        <v>33.436</v>
      </c>
      <c r="G236" s="22" t="e">
        <f aca="false">arclethnm(C235,D235,C236,D236)/6</f>
        <v>#NAME?</v>
      </c>
      <c r="H236" s="22" t="e">
        <f aca="false">G236*0.5144</f>
        <v>#NAME?</v>
      </c>
      <c r="I236" s="18" t="n">
        <v>0</v>
      </c>
    </row>
    <row r="237" customFormat="false" ht="12.75" hidden="false" customHeight="false" outlineLevel="0" collapsed="false">
      <c r="A237" s="18" t="n">
        <f aca="false">B237-0.25</f>
        <v>11.25</v>
      </c>
      <c r="B237" s="18" t="n">
        <f aca="false">B236+0.25</f>
        <v>11.5</v>
      </c>
      <c r="C237" s="18" t="n">
        <v>27</v>
      </c>
      <c r="D237" s="18" t="n">
        <v>-98.3</v>
      </c>
      <c r="E237" s="18" t="n">
        <v>45</v>
      </c>
      <c r="F237" s="18" t="n">
        <f aca="false">E237*0.5144</f>
        <v>23.148</v>
      </c>
      <c r="G237" s="22" t="e">
        <f aca="false">arclethnm(C236,D236,C237,D237)/6</f>
        <v>#NAME?</v>
      </c>
      <c r="H237" s="22" t="e">
        <f aca="false">G237*0.5144</f>
        <v>#NAME?</v>
      </c>
      <c r="I237" s="18" t="n">
        <v>0</v>
      </c>
    </row>
    <row r="238" customFormat="false" ht="12.75" hidden="false" customHeight="false" outlineLevel="0" collapsed="false">
      <c r="A238" s="18" t="n">
        <f aca="false">B238-0.25</f>
        <v>11.5</v>
      </c>
      <c r="B238" s="18" t="n">
        <f aca="false">B237+0.25</f>
        <v>11.75</v>
      </c>
      <c r="C238" s="18" t="n">
        <v>27</v>
      </c>
      <c r="D238" s="18" t="n">
        <v>-99</v>
      </c>
      <c r="E238" s="18" t="n">
        <v>35</v>
      </c>
      <c r="F238" s="18" t="n">
        <f aca="false">E238*0.5144</f>
        <v>18.004</v>
      </c>
      <c r="G238" s="22" t="e">
        <f aca="false">arclethnm(C237,D237,C238,D238)/6</f>
        <v>#NAME?</v>
      </c>
      <c r="H238" s="22" t="e">
        <f aca="false">G238*0.5144</f>
        <v>#NAME?</v>
      </c>
      <c r="I238" s="18" t="n">
        <v>0</v>
      </c>
    </row>
    <row r="239" customFormat="false" ht="12.75" hidden="false" customHeight="false" outlineLevel="0" collapsed="false">
      <c r="A239" s="18" t="n">
        <f aca="false">B239-0.25</f>
        <v>11.75</v>
      </c>
      <c r="B239" s="18" t="n">
        <f aca="false">B238+0.25</f>
        <v>12</v>
      </c>
      <c r="C239" s="18" t="n">
        <v>27</v>
      </c>
      <c r="D239" s="18" t="n">
        <v>-99.6</v>
      </c>
      <c r="E239" s="18" t="n">
        <v>30</v>
      </c>
      <c r="F239" s="18" t="n">
        <f aca="false">E239*0.5144</f>
        <v>15.432</v>
      </c>
      <c r="G239" s="22" t="e">
        <f aca="false">arclethnm(C238,D238,C239,D239)/6</f>
        <v>#NAME?</v>
      </c>
      <c r="H239" s="22" t="e">
        <f aca="false">G239*0.5144</f>
        <v>#NAME?</v>
      </c>
      <c r="I239" s="18" t="n">
        <v>0</v>
      </c>
    </row>
    <row r="240" customFormat="false" ht="12.75" hidden="false" customHeight="false" outlineLevel="0" collapsed="false">
      <c r="A240" s="0"/>
      <c r="B240" s="0"/>
      <c r="C240" s="0"/>
      <c r="D240" s="0"/>
      <c r="E240" s="0"/>
      <c r="F240" s="0"/>
      <c r="G240" s="22"/>
      <c r="H240" s="22"/>
      <c r="I240" s="0"/>
    </row>
    <row r="241" customFormat="false" ht="12.75" hidden="false" customHeight="false" outlineLevel="0" collapsed="false">
      <c r="A241" s="0"/>
      <c r="B241" s="0"/>
      <c r="C241" s="0"/>
      <c r="D241" s="0"/>
      <c r="E241" s="0"/>
      <c r="F241" s="0"/>
      <c r="G241" s="22"/>
      <c r="H241" s="22"/>
      <c r="I241" s="0"/>
    </row>
    <row r="242" customFormat="false" ht="12.75" hidden="false" customHeight="false" outlineLevel="0" collapsed="false">
      <c r="A242" s="0"/>
      <c r="B242" s="18" t="n">
        <v>1912</v>
      </c>
      <c r="C242" s="0"/>
      <c r="D242" s="0"/>
      <c r="E242" s="0"/>
      <c r="F242" s="0"/>
      <c r="G242" s="22"/>
      <c r="H242" s="22"/>
      <c r="I242" s="0"/>
    </row>
    <row r="243" customFormat="false" ht="12.75" hidden="false" customHeight="false" outlineLevel="0" collapsed="false">
      <c r="A243" s="18" t="n">
        <v>1</v>
      </c>
      <c r="B243" s="18" t="n">
        <v>1.5</v>
      </c>
      <c r="C243" s="18" t="n">
        <v>18.5</v>
      </c>
      <c r="D243" s="18" t="n">
        <v>-80.7</v>
      </c>
      <c r="E243" s="18" t="n">
        <v>35</v>
      </c>
      <c r="F243" s="18" t="n">
        <f aca="false">E243*0.5144</f>
        <v>18.004</v>
      </c>
      <c r="G243" s="22"/>
      <c r="H243" s="22"/>
      <c r="I243" s="18" t="n">
        <v>0</v>
      </c>
    </row>
    <row r="244" customFormat="false" ht="12.75" hidden="false" customHeight="false" outlineLevel="0" collapsed="false">
      <c r="A244" s="18" t="n">
        <f aca="false">B244-0.5</f>
        <v>1.25</v>
      </c>
      <c r="B244" s="18" t="n">
        <f aca="false">B243+0.25</f>
        <v>1.75</v>
      </c>
      <c r="C244" s="18" t="n">
        <v>18.9</v>
      </c>
      <c r="D244" s="18" t="n">
        <v>-81.5</v>
      </c>
      <c r="E244" s="18" t="n">
        <v>35</v>
      </c>
      <c r="F244" s="18" t="n">
        <f aca="false">E244*0.5144</f>
        <v>18.004</v>
      </c>
      <c r="G244" s="22" t="e">
        <f aca="false">arclethnm(C243,D243,C244,D244)/6</f>
        <v>#NAME?</v>
      </c>
      <c r="H244" s="22" t="e">
        <f aca="false">G244*0.5144</f>
        <v>#NAME?</v>
      </c>
      <c r="I244" s="18" t="n">
        <v>0</v>
      </c>
    </row>
    <row r="245" customFormat="false" ht="12.75" hidden="false" customHeight="false" outlineLevel="0" collapsed="false">
      <c r="A245" s="18" t="n">
        <f aca="false">B245-0.5</f>
        <v>1.5</v>
      </c>
      <c r="B245" s="18" t="n">
        <f aca="false">B244+0.25</f>
        <v>2</v>
      </c>
      <c r="C245" s="18" t="n">
        <v>19.3</v>
      </c>
      <c r="D245" s="18" t="n">
        <v>-82.3</v>
      </c>
      <c r="E245" s="18" t="n">
        <v>40</v>
      </c>
      <c r="F245" s="18" t="n">
        <f aca="false">E245*0.5144</f>
        <v>20.576</v>
      </c>
      <c r="G245" s="22" t="e">
        <f aca="false">arclethnm(C244,D244,C245,D245)/6</f>
        <v>#NAME?</v>
      </c>
      <c r="H245" s="22" t="e">
        <f aca="false">G245*0.5144</f>
        <v>#NAME?</v>
      </c>
      <c r="I245" s="18" t="n">
        <v>0</v>
      </c>
    </row>
    <row r="246" customFormat="false" ht="12.75" hidden="false" customHeight="false" outlineLevel="0" collapsed="false">
      <c r="A246" s="18" t="n">
        <f aca="false">B246-0.5</f>
        <v>1.75</v>
      </c>
      <c r="B246" s="18" t="n">
        <f aca="false">B245+0.25</f>
        <v>2.25</v>
      </c>
      <c r="C246" s="18" t="n">
        <v>19.7</v>
      </c>
      <c r="D246" s="18" t="n">
        <v>-83.1</v>
      </c>
      <c r="E246" s="18" t="n">
        <v>45</v>
      </c>
      <c r="F246" s="18" t="n">
        <f aca="false">E246*0.5144</f>
        <v>23.148</v>
      </c>
      <c r="G246" s="22" t="e">
        <f aca="false">arclethnm(C245,D245,C246,D246)/6</f>
        <v>#NAME?</v>
      </c>
      <c r="H246" s="22" t="e">
        <f aca="false">G246*0.5144</f>
        <v>#NAME?</v>
      </c>
      <c r="I246" s="18" t="n">
        <v>0</v>
      </c>
    </row>
    <row r="247" customFormat="false" ht="12.75" hidden="false" customHeight="false" outlineLevel="0" collapsed="false">
      <c r="A247" s="18" t="n">
        <f aca="false">B247-0.5</f>
        <v>2</v>
      </c>
      <c r="B247" s="18" t="n">
        <f aca="false">B246+0.25</f>
        <v>2.5</v>
      </c>
      <c r="C247" s="18" t="n">
        <v>20.1</v>
      </c>
      <c r="D247" s="18" t="n">
        <v>-84</v>
      </c>
      <c r="E247" s="18" t="n">
        <v>50</v>
      </c>
      <c r="F247" s="18" t="n">
        <f aca="false">E247*0.5144</f>
        <v>25.72</v>
      </c>
      <c r="G247" s="22" t="e">
        <f aca="false">arclethnm(C246,D246,C247,D247)/6</f>
        <v>#NAME?</v>
      </c>
      <c r="H247" s="22" t="e">
        <f aca="false">G247*0.5144</f>
        <v>#NAME?</v>
      </c>
      <c r="I247" s="18" t="n">
        <v>0</v>
      </c>
    </row>
    <row r="248" customFormat="false" ht="12.75" hidden="false" customHeight="false" outlineLevel="0" collapsed="false">
      <c r="A248" s="18" t="n">
        <f aca="false">B248-0.5</f>
        <v>2.25</v>
      </c>
      <c r="B248" s="18" t="n">
        <f aca="false">B247+0.25</f>
        <v>2.75</v>
      </c>
      <c r="C248" s="18" t="n">
        <v>20.5</v>
      </c>
      <c r="D248" s="18" t="n">
        <v>-85</v>
      </c>
      <c r="E248" s="18" t="n">
        <v>55</v>
      </c>
      <c r="F248" s="18" t="n">
        <f aca="false">E248*0.5144</f>
        <v>28.292</v>
      </c>
      <c r="G248" s="22" t="e">
        <f aca="false">arclethnm(C247,D247,C248,D248)/6</f>
        <v>#NAME?</v>
      </c>
      <c r="H248" s="22" t="e">
        <f aca="false">G248*0.5144</f>
        <v>#NAME?</v>
      </c>
      <c r="I248" s="18" t="n">
        <v>0</v>
      </c>
    </row>
    <row r="249" customFormat="false" ht="12.75" hidden="false" customHeight="false" outlineLevel="0" collapsed="false">
      <c r="A249" s="18" t="n">
        <f aca="false">B249-0.5</f>
        <v>2.5</v>
      </c>
      <c r="B249" s="18" t="n">
        <f aca="false">B248+0.25</f>
        <v>3</v>
      </c>
      <c r="C249" s="18" t="n">
        <v>20.9</v>
      </c>
      <c r="D249" s="18" t="n">
        <v>-86.1</v>
      </c>
      <c r="E249" s="18" t="n">
        <v>60</v>
      </c>
      <c r="F249" s="18" t="n">
        <f aca="false">E249*0.5144</f>
        <v>30.864</v>
      </c>
      <c r="G249" s="22" t="e">
        <f aca="false">arclethnm(C248,D248,C249,D249)/6</f>
        <v>#NAME?</v>
      </c>
      <c r="H249" s="22" t="e">
        <f aca="false">G249*0.5144</f>
        <v>#NAME?</v>
      </c>
      <c r="I249" s="18" t="n">
        <v>0</v>
      </c>
    </row>
    <row r="250" customFormat="false" ht="12.75" hidden="false" customHeight="false" outlineLevel="0" collapsed="false">
      <c r="A250" s="18" t="n">
        <f aca="false">B250-0.5</f>
        <v>2.75</v>
      </c>
      <c r="B250" s="18" t="n">
        <f aca="false">B249+0.25</f>
        <v>3.25</v>
      </c>
      <c r="C250" s="18" t="n">
        <v>21.2</v>
      </c>
      <c r="D250" s="18" t="n">
        <v>-87.2</v>
      </c>
      <c r="E250" s="18" t="n">
        <v>50</v>
      </c>
      <c r="F250" s="18" t="n">
        <f aca="false">E250*0.5144</f>
        <v>25.72</v>
      </c>
      <c r="G250" s="22" t="e">
        <f aca="false">arclethnm(C249,D249,C250,D250)/6</f>
        <v>#NAME?</v>
      </c>
      <c r="H250" s="22" t="e">
        <f aca="false">G250*0.5144</f>
        <v>#NAME?</v>
      </c>
      <c r="I250" s="18" t="n">
        <v>0</v>
      </c>
    </row>
    <row r="251" customFormat="false" ht="12.75" hidden="false" customHeight="false" outlineLevel="0" collapsed="false">
      <c r="A251" s="18" t="n">
        <f aca="false">B251-0.5</f>
        <v>3</v>
      </c>
      <c r="B251" s="18" t="n">
        <f aca="false">B250+0.25</f>
        <v>3.5</v>
      </c>
      <c r="C251" s="18" t="n">
        <v>21.5</v>
      </c>
      <c r="D251" s="18" t="n">
        <v>-88.2</v>
      </c>
      <c r="E251" s="18" t="n">
        <v>45</v>
      </c>
      <c r="F251" s="18" t="n">
        <f aca="false">E251*0.5144</f>
        <v>23.148</v>
      </c>
      <c r="G251" s="22" t="e">
        <f aca="false">arclethnm(C250,D250,C251,D251)/6</f>
        <v>#NAME?</v>
      </c>
      <c r="H251" s="22" t="e">
        <f aca="false">G251*0.5144</f>
        <v>#NAME?</v>
      </c>
      <c r="I251" s="18" t="n">
        <v>0</v>
      </c>
    </row>
    <row r="252" customFormat="false" ht="12.75" hidden="false" customHeight="false" outlineLevel="0" collapsed="false">
      <c r="A252" s="18" t="n">
        <f aca="false">B252-0.5</f>
        <v>3.25</v>
      </c>
      <c r="B252" s="18" t="n">
        <f aca="false">B251+0.25</f>
        <v>3.75</v>
      </c>
      <c r="C252" s="18" t="n">
        <v>21.7</v>
      </c>
      <c r="D252" s="18" t="n">
        <v>-89</v>
      </c>
      <c r="E252" s="18" t="n">
        <v>50</v>
      </c>
      <c r="F252" s="18" t="n">
        <f aca="false">E252*0.5144</f>
        <v>25.72</v>
      </c>
      <c r="G252" s="22" t="e">
        <f aca="false">arclethnm(C251,D251,C252,D252)/6</f>
        <v>#NAME?</v>
      </c>
      <c r="H252" s="22" t="e">
        <f aca="false">G252*0.5144</f>
        <v>#NAME?</v>
      </c>
      <c r="I252" s="18" t="n">
        <v>0</v>
      </c>
    </row>
    <row r="253" customFormat="false" ht="12.75" hidden="false" customHeight="false" outlineLevel="0" collapsed="false">
      <c r="A253" s="18" t="n">
        <f aca="false">B253-0.5</f>
        <v>3.5</v>
      </c>
      <c r="B253" s="18" t="n">
        <f aca="false">B252+0.25</f>
        <v>4</v>
      </c>
      <c r="C253" s="18" t="n">
        <v>21.8</v>
      </c>
      <c r="D253" s="18" t="n">
        <v>-89.7</v>
      </c>
      <c r="E253" s="18" t="n">
        <v>55</v>
      </c>
      <c r="F253" s="18" t="n">
        <f aca="false">E253*0.5144</f>
        <v>28.292</v>
      </c>
      <c r="G253" s="22" t="e">
        <f aca="false">arclethnm(C252,D252,C253,D253)/6</f>
        <v>#NAME?</v>
      </c>
      <c r="H253" s="22" t="e">
        <f aca="false">G253*0.5144</f>
        <v>#NAME?</v>
      </c>
      <c r="I253" s="18" t="n">
        <v>0</v>
      </c>
    </row>
    <row r="254" customFormat="false" ht="12.75" hidden="false" customHeight="false" outlineLevel="0" collapsed="false">
      <c r="A254" s="18" t="n">
        <f aca="false">B254-0.5</f>
        <v>3.75</v>
      </c>
      <c r="B254" s="18" t="n">
        <f aca="false">B253+0.25</f>
        <v>4.25</v>
      </c>
      <c r="C254" s="18" t="n">
        <v>21.9</v>
      </c>
      <c r="D254" s="18" t="n">
        <v>-90.3</v>
      </c>
      <c r="E254" s="18" t="n">
        <v>60</v>
      </c>
      <c r="F254" s="18" t="n">
        <f aca="false">E254*0.5144</f>
        <v>30.864</v>
      </c>
      <c r="G254" s="22" t="e">
        <f aca="false">arclethnm(C253,D253,C254,D254)/6</f>
        <v>#NAME?</v>
      </c>
      <c r="H254" s="22" t="e">
        <f aca="false">G254*0.5144</f>
        <v>#NAME?</v>
      </c>
      <c r="I254" s="18" t="n">
        <v>0</v>
      </c>
    </row>
    <row r="255" customFormat="false" ht="12.75" hidden="false" customHeight="false" outlineLevel="0" collapsed="false">
      <c r="A255" s="18" t="n">
        <f aca="false">B255-0.5</f>
        <v>4</v>
      </c>
      <c r="B255" s="18" t="n">
        <f aca="false">B254+0.25</f>
        <v>4.5</v>
      </c>
      <c r="C255" s="18" t="n">
        <v>22.1</v>
      </c>
      <c r="D255" s="18" t="n">
        <v>-91</v>
      </c>
      <c r="E255" s="18" t="n">
        <v>65</v>
      </c>
      <c r="F255" s="18" t="n">
        <f aca="false">E255*0.5144</f>
        <v>33.436</v>
      </c>
      <c r="G255" s="22" t="e">
        <f aca="false">arclethnm(C254,D254,C255,D255)/6</f>
        <v>#NAME?</v>
      </c>
      <c r="H255" s="22" t="e">
        <f aca="false">G255*0.5144</f>
        <v>#NAME?</v>
      </c>
      <c r="I255" s="18" t="n">
        <v>0</v>
      </c>
    </row>
    <row r="256" customFormat="false" ht="12.75" hidden="false" customHeight="false" outlineLevel="0" collapsed="false">
      <c r="A256" s="18" t="n">
        <f aca="false">B256-0.5</f>
        <v>4.25</v>
      </c>
      <c r="B256" s="18" t="n">
        <f aca="false">B255+0.25</f>
        <v>4.75</v>
      </c>
      <c r="C256" s="18" t="n">
        <v>22.4</v>
      </c>
      <c r="D256" s="18" t="n">
        <v>-91.8</v>
      </c>
      <c r="E256" s="18" t="n">
        <v>70</v>
      </c>
      <c r="F256" s="18" t="n">
        <f aca="false">E256*0.5144</f>
        <v>36.008</v>
      </c>
      <c r="G256" s="22" t="e">
        <f aca="false">arclethnm(C255,D255,C256,D256)/6</f>
        <v>#NAME?</v>
      </c>
      <c r="H256" s="22" t="e">
        <f aca="false">G256*0.5144</f>
        <v>#NAME?</v>
      </c>
      <c r="I256" s="18" t="n">
        <v>0</v>
      </c>
    </row>
    <row r="257" customFormat="false" ht="12.75" hidden="false" customHeight="false" outlineLevel="0" collapsed="false">
      <c r="A257" s="18" t="n">
        <f aca="false">B257-0.5</f>
        <v>4.5</v>
      </c>
      <c r="B257" s="18" t="n">
        <f aca="false">B256+0.25</f>
        <v>5</v>
      </c>
      <c r="C257" s="18" t="n">
        <v>22.8</v>
      </c>
      <c r="D257" s="18" t="n">
        <v>-92.6</v>
      </c>
      <c r="E257" s="18" t="n">
        <v>75</v>
      </c>
      <c r="F257" s="18" t="n">
        <f aca="false">E257*0.5144</f>
        <v>38.58</v>
      </c>
      <c r="G257" s="22" t="e">
        <f aca="false">arclethnm(C256,D256,C257,D257)/6</f>
        <v>#NAME?</v>
      </c>
      <c r="H257" s="22" t="e">
        <f aca="false">G257*0.5144</f>
        <v>#NAME?</v>
      </c>
      <c r="I257" s="18" t="n">
        <v>0</v>
      </c>
    </row>
    <row r="258" customFormat="false" ht="12.75" hidden="false" customHeight="false" outlineLevel="0" collapsed="false">
      <c r="A258" s="18" t="n">
        <f aca="false">B258-0.5</f>
        <v>4.75</v>
      </c>
      <c r="B258" s="18" t="n">
        <f aca="false">B257+0.25</f>
        <v>5.25</v>
      </c>
      <c r="C258" s="18" t="n">
        <v>23.2</v>
      </c>
      <c r="D258" s="18" t="n">
        <v>-93.3</v>
      </c>
      <c r="E258" s="18" t="n">
        <v>80</v>
      </c>
      <c r="F258" s="18" t="n">
        <f aca="false">E258*0.5144</f>
        <v>41.152</v>
      </c>
      <c r="G258" s="22" t="e">
        <f aca="false">arclethnm(C257,D257,C258,D258)/6</f>
        <v>#NAME?</v>
      </c>
      <c r="H258" s="22" t="e">
        <f aca="false">G258*0.5144</f>
        <v>#NAME?</v>
      </c>
      <c r="I258" s="18" t="n">
        <v>0</v>
      </c>
    </row>
    <row r="259" customFormat="false" ht="12.75" hidden="false" customHeight="false" outlineLevel="0" collapsed="false">
      <c r="A259" s="18" t="n">
        <f aca="false">B259-0.5</f>
        <v>5</v>
      </c>
      <c r="B259" s="18" t="n">
        <f aca="false">B258+0.25</f>
        <v>5.5</v>
      </c>
      <c r="C259" s="18" t="n">
        <v>23.8</v>
      </c>
      <c r="D259" s="18" t="n">
        <v>-94.1</v>
      </c>
      <c r="E259" s="18" t="n">
        <v>85</v>
      </c>
      <c r="F259" s="18" t="n">
        <f aca="false">E259*0.5144</f>
        <v>43.724</v>
      </c>
      <c r="G259" s="22" t="e">
        <f aca="false">arclethnm(C258,D258,C259,D259)/6</f>
        <v>#NAME?</v>
      </c>
      <c r="H259" s="22" t="e">
        <f aca="false">G259*0.5144</f>
        <v>#NAME?</v>
      </c>
      <c r="I259" s="18" t="n">
        <v>0</v>
      </c>
    </row>
    <row r="260" customFormat="false" ht="12.75" hidden="false" customHeight="false" outlineLevel="0" collapsed="false">
      <c r="A260" s="18" t="n">
        <f aca="false">B260-0.5</f>
        <v>5.25</v>
      </c>
      <c r="B260" s="18" t="n">
        <f aca="false">B259+0.25</f>
        <v>5.75</v>
      </c>
      <c r="C260" s="18" t="n">
        <v>24.4</v>
      </c>
      <c r="D260" s="18" t="n">
        <v>-94.9</v>
      </c>
      <c r="E260" s="18" t="n">
        <v>85</v>
      </c>
      <c r="F260" s="18" t="n">
        <f aca="false">E260*0.5144</f>
        <v>43.724</v>
      </c>
      <c r="G260" s="22" t="e">
        <f aca="false">arclethnm(C259,D259,C260,D260)/6</f>
        <v>#NAME?</v>
      </c>
      <c r="H260" s="22" t="e">
        <f aca="false">G260*0.5144</f>
        <v>#NAME?</v>
      </c>
      <c r="I260" s="18" t="n">
        <v>0</v>
      </c>
    </row>
    <row r="261" customFormat="false" ht="12.75" hidden="false" customHeight="false" outlineLevel="0" collapsed="false">
      <c r="A261" s="18" t="n">
        <f aca="false">B261-0.5</f>
        <v>5.5</v>
      </c>
      <c r="B261" s="18" t="n">
        <f aca="false">B260+0.25</f>
        <v>6</v>
      </c>
      <c r="C261" s="18" t="n">
        <v>25.1</v>
      </c>
      <c r="D261" s="18" t="n">
        <v>-95.7</v>
      </c>
      <c r="E261" s="18" t="n">
        <v>85</v>
      </c>
      <c r="F261" s="18" t="n">
        <f aca="false">E261*0.5144</f>
        <v>43.724</v>
      </c>
      <c r="G261" s="22" t="e">
        <f aca="false">arclethnm(C260,D260,C261,D261)/6</f>
        <v>#NAME?</v>
      </c>
      <c r="H261" s="22" t="e">
        <f aca="false">G261*0.5144</f>
        <v>#NAME?</v>
      </c>
      <c r="I261" s="18" t="n">
        <v>0</v>
      </c>
    </row>
    <row r="262" customFormat="false" ht="12.75" hidden="false" customHeight="false" outlineLevel="0" collapsed="false">
      <c r="A262" s="18" t="n">
        <f aca="false">B262-0.5</f>
        <v>5.75</v>
      </c>
      <c r="B262" s="18" t="n">
        <f aca="false">B261+0.25</f>
        <v>6.25</v>
      </c>
      <c r="C262" s="18" t="n">
        <v>25.8</v>
      </c>
      <c r="D262" s="18" t="n">
        <v>-96.4</v>
      </c>
      <c r="E262" s="18" t="n">
        <v>85</v>
      </c>
      <c r="F262" s="18" t="n">
        <f aca="false">E262*0.5144</f>
        <v>43.724</v>
      </c>
      <c r="G262" s="22" t="e">
        <f aca="false">arclethnm(C261,D261,C262,D262)/6</f>
        <v>#NAME?</v>
      </c>
      <c r="H262" s="22" t="e">
        <f aca="false">G262*0.5144</f>
        <v>#NAME?</v>
      </c>
      <c r="I262" s="18" t="n">
        <v>0</v>
      </c>
    </row>
    <row r="263" customFormat="false" ht="12.75" hidden="false" customHeight="false" outlineLevel="0" collapsed="false">
      <c r="A263" s="18" t="n">
        <f aca="false">B263-0.5</f>
        <v>6</v>
      </c>
      <c r="B263" s="18" t="n">
        <f aca="false">B262+0.25</f>
        <v>6.5</v>
      </c>
      <c r="C263" s="18" t="n">
        <v>26.5</v>
      </c>
      <c r="D263" s="18" t="n">
        <v>-97</v>
      </c>
      <c r="E263" s="18" t="n">
        <v>85</v>
      </c>
      <c r="F263" s="18" t="n">
        <f aca="false">E263*0.5144</f>
        <v>43.724</v>
      </c>
      <c r="G263" s="22" t="e">
        <f aca="false">arclethnm(C262,D262,C263,D263)/6</f>
        <v>#NAME?</v>
      </c>
      <c r="H263" s="22" t="e">
        <f aca="false">G263*0.5144</f>
        <v>#NAME?</v>
      </c>
      <c r="I263" s="18" t="n">
        <v>0</v>
      </c>
    </row>
    <row r="264" customFormat="false" ht="12.75" hidden="false" customHeight="false" outlineLevel="0" collapsed="false">
      <c r="A264" s="18" t="n">
        <f aca="false">B264-0.5</f>
        <v>6.25</v>
      </c>
      <c r="B264" s="18" t="n">
        <f aca="false">B263+0.25</f>
        <v>6.75</v>
      </c>
      <c r="C264" s="18" t="n">
        <v>27.1</v>
      </c>
      <c r="D264" s="18" t="n">
        <v>-97.4</v>
      </c>
      <c r="E264" s="18" t="n">
        <v>85</v>
      </c>
      <c r="F264" s="18" t="n">
        <f aca="false">E264*0.5144</f>
        <v>43.724</v>
      </c>
      <c r="G264" s="22" t="e">
        <f aca="false">arclethnm(C263,D263,C264,D264)/6</f>
        <v>#NAME?</v>
      </c>
      <c r="H264" s="22" t="e">
        <f aca="false">G264*0.5144</f>
        <v>#NAME?</v>
      </c>
      <c r="I264" s="18" t="n">
        <v>0</v>
      </c>
    </row>
    <row r="265" customFormat="false" ht="12.75" hidden="false" customHeight="false" outlineLevel="0" collapsed="false">
      <c r="A265" s="18" t="n">
        <f aca="false">B265-0.5</f>
        <v>6.5</v>
      </c>
      <c r="B265" s="18" t="n">
        <f aca="false">B264+0.25</f>
        <v>7</v>
      </c>
      <c r="C265" s="18" t="n">
        <v>27.7</v>
      </c>
      <c r="D265" s="18" t="n">
        <v>-97.6</v>
      </c>
      <c r="E265" s="18" t="n">
        <v>50</v>
      </c>
      <c r="F265" s="18" t="n">
        <f aca="false">E265*0.5144</f>
        <v>25.72</v>
      </c>
      <c r="G265" s="22" t="e">
        <f aca="false">arclethnm(C264,D264,C265,D265)/6</f>
        <v>#NAME?</v>
      </c>
      <c r="H265" s="22" t="e">
        <f aca="false">G265*0.5144</f>
        <v>#NAME?</v>
      </c>
      <c r="I265" s="18" t="n">
        <v>0</v>
      </c>
    </row>
    <row r="266" customFormat="false" ht="12.75" hidden="false" customHeight="false" outlineLevel="0" collapsed="false">
      <c r="A266" s="18" t="n">
        <f aca="false">B266-0.5</f>
        <v>6.75</v>
      </c>
      <c r="B266" s="18" t="n">
        <f aca="false">B265+0.25</f>
        <v>7.25</v>
      </c>
      <c r="C266" s="18" t="n">
        <v>28.3</v>
      </c>
      <c r="D266" s="18" t="n">
        <v>-97.7</v>
      </c>
      <c r="E266" s="18" t="n">
        <v>40</v>
      </c>
      <c r="F266" s="18" t="n">
        <f aca="false">E266*0.5144</f>
        <v>20.576</v>
      </c>
      <c r="G266" s="22" t="e">
        <f aca="false">arclethnm(C265,D265,C266,D266)/6</f>
        <v>#NAME?</v>
      </c>
      <c r="H266" s="22" t="e">
        <f aca="false">G266*0.5144</f>
        <v>#NAME?</v>
      </c>
      <c r="I266" s="18" t="n">
        <v>0</v>
      </c>
    </row>
    <row r="267" customFormat="false" ht="12.75" hidden="false" customHeight="false" outlineLevel="0" collapsed="false">
      <c r="A267" s="18" t="n">
        <f aca="false">B267-0.5</f>
        <v>7</v>
      </c>
      <c r="B267" s="18" t="n">
        <f aca="false">B266+0.25</f>
        <v>7.5</v>
      </c>
      <c r="C267" s="18" t="n">
        <v>28.8</v>
      </c>
      <c r="D267" s="18" t="n">
        <v>-97.8</v>
      </c>
      <c r="E267" s="18" t="n">
        <v>30</v>
      </c>
      <c r="F267" s="18" t="n">
        <f aca="false">E267*0.5144</f>
        <v>15.432</v>
      </c>
      <c r="G267" s="22" t="e">
        <f aca="false">arclethnm(C266,D266,C267,D267)/6</f>
        <v>#NAME?</v>
      </c>
      <c r="H267" s="22" t="e">
        <f aca="false">G267*0.5144</f>
        <v>#NAME?</v>
      </c>
      <c r="I267" s="18" t="n">
        <v>0</v>
      </c>
    </row>
    <row r="268" customFormat="false" ht="12.75" hidden="false" customHeight="false" outlineLevel="0" collapsed="false">
      <c r="A268" s="18" t="n">
        <f aca="false">B268-0.5</f>
        <v>7.25</v>
      </c>
      <c r="B268" s="18" t="n">
        <f aca="false">B267+0.25</f>
        <v>7.75</v>
      </c>
      <c r="C268" s="18" t="n">
        <v>29.2</v>
      </c>
      <c r="D268" s="18" t="n">
        <v>-97.7</v>
      </c>
      <c r="E268" s="18" t="n">
        <v>25</v>
      </c>
      <c r="F268" s="18" t="n">
        <f aca="false">E268*0.5144</f>
        <v>12.86</v>
      </c>
      <c r="G268" s="22" t="e">
        <f aca="false">arclethnm(C267,D267,C268,D268)/6</f>
        <v>#NAME?</v>
      </c>
      <c r="H268" s="22" t="e">
        <f aca="false">G268*0.5144</f>
        <v>#NAME?</v>
      </c>
      <c r="I268" s="18" t="n">
        <v>0</v>
      </c>
    </row>
    <row r="269" customFormat="false" ht="12.75" hidden="false" customHeight="false" outlineLevel="0" collapsed="false">
      <c r="A269" s="18" t="n">
        <f aca="false">B269-0.5</f>
        <v>7.5</v>
      </c>
      <c r="B269" s="18" t="n">
        <f aca="false">B268+0.25</f>
        <v>8</v>
      </c>
      <c r="C269" s="18" t="n">
        <v>29.5</v>
      </c>
      <c r="D269" s="18" t="n">
        <v>-97.5</v>
      </c>
      <c r="E269" s="18" t="n">
        <v>25</v>
      </c>
      <c r="F269" s="18" t="n">
        <f aca="false">E269*0.5144</f>
        <v>12.86</v>
      </c>
      <c r="G269" s="22" t="e">
        <f aca="false">arclethnm(C268,D268,C269,D269)/6</f>
        <v>#NAME?</v>
      </c>
      <c r="H269" s="22" t="e">
        <f aca="false">G269*0.5144</f>
        <v>#NAME?</v>
      </c>
      <c r="I269" s="18" t="n">
        <v>0</v>
      </c>
    </row>
    <row r="270" customFormat="false" ht="12.75" hidden="false" customHeight="false" outlineLevel="0" collapsed="false">
      <c r="A270" s="0"/>
      <c r="B270" s="0"/>
      <c r="C270" s="0"/>
      <c r="D270" s="0"/>
      <c r="E270" s="0"/>
      <c r="F270" s="0"/>
      <c r="G270" s="22"/>
      <c r="H270" s="22"/>
      <c r="I270" s="0"/>
    </row>
    <row r="271" customFormat="false" ht="12.75" hidden="false" customHeight="false" outlineLevel="0" collapsed="false">
      <c r="A271" s="0"/>
      <c r="B271" s="18" t="n">
        <v>1913</v>
      </c>
      <c r="C271" s="0"/>
      <c r="D271" s="0"/>
      <c r="E271" s="0"/>
      <c r="F271" s="0"/>
      <c r="G271" s="22"/>
      <c r="H271" s="22"/>
      <c r="I271" s="0"/>
    </row>
    <row r="272" customFormat="false" ht="12.75" hidden="false" customHeight="false" outlineLevel="0" collapsed="false">
      <c r="A272" s="18" t="n">
        <v>1</v>
      </c>
      <c r="B272" s="18" t="n">
        <v>1.25</v>
      </c>
      <c r="C272" s="18" t="n">
        <v>11</v>
      </c>
      <c r="D272" s="18" t="n">
        <v>-80</v>
      </c>
      <c r="E272" s="18" t="n">
        <v>30</v>
      </c>
      <c r="F272" s="18" t="n">
        <f aca="false">E272*0.5144</f>
        <v>15.432</v>
      </c>
      <c r="G272" s="22"/>
      <c r="H272" s="22"/>
      <c r="I272" s="18" t="n">
        <v>0</v>
      </c>
    </row>
    <row r="273" customFormat="false" ht="12.75" hidden="false" customHeight="false" outlineLevel="0" collapsed="false">
      <c r="A273" s="18" t="n">
        <f aca="false">B273-0.25</f>
        <v>1.25</v>
      </c>
      <c r="B273" s="18" t="n">
        <f aca="false">B272+0.25</f>
        <v>1.5</v>
      </c>
      <c r="C273" s="18" t="n">
        <v>11</v>
      </c>
      <c r="D273" s="18" t="n">
        <v>-80.5</v>
      </c>
      <c r="E273" s="18" t="n">
        <v>30</v>
      </c>
      <c r="F273" s="18" t="n">
        <f aca="false">E273*0.5144</f>
        <v>15.432</v>
      </c>
      <c r="G273" s="22" t="e">
        <f aca="false">arclethnm(C272,D272,C273,D273)/6</f>
        <v>#NAME?</v>
      </c>
      <c r="H273" s="22" t="e">
        <f aca="false">G273*0.5144</f>
        <v>#NAME?</v>
      </c>
      <c r="I273" s="18" t="n">
        <v>0</v>
      </c>
    </row>
    <row r="274" customFormat="false" ht="12.75" hidden="false" customHeight="false" outlineLevel="0" collapsed="false">
      <c r="A274" s="18" t="n">
        <f aca="false">B274-0.25</f>
        <v>1.5</v>
      </c>
      <c r="B274" s="18" t="n">
        <f aca="false">B273+0.25</f>
        <v>1.75</v>
      </c>
      <c r="C274" s="18" t="n">
        <v>11.1</v>
      </c>
      <c r="D274" s="18" t="n">
        <v>-80.6</v>
      </c>
      <c r="E274" s="18" t="n">
        <v>30</v>
      </c>
      <c r="F274" s="18" t="n">
        <f aca="false">E274*0.5144</f>
        <v>15.432</v>
      </c>
      <c r="G274" s="22" t="e">
        <f aca="false">arclethnm(C273,D273,C274,D274)/6</f>
        <v>#NAME?</v>
      </c>
      <c r="H274" s="22" t="e">
        <f aca="false">G274*0.5144</f>
        <v>#NAME?</v>
      </c>
      <c r="I274" s="18" t="n">
        <v>0</v>
      </c>
    </row>
    <row r="275" customFormat="false" ht="12.75" hidden="false" customHeight="false" outlineLevel="0" collapsed="false">
      <c r="A275" s="18" t="n">
        <f aca="false">B275-0.25</f>
        <v>1.75</v>
      </c>
      <c r="B275" s="18" t="n">
        <f aca="false">B274+0.25</f>
        <v>2</v>
      </c>
      <c r="C275" s="18" t="n">
        <v>11.2</v>
      </c>
      <c r="D275" s="18" t="n">
        <v>-80.7</v>
      </c>
      <c r="E275" s="18" t="n">
        <v>30</v>
      </c>
      <c r="F275" s="18" t="n">
        <f aca="false">E275*0.5144</f>
        <v>15.432</v>
      </c>
      <c r="G275" s="22" t="e">
        <f aca="false">arclethnm(C274,D274,C275,D275)/6</f>
        <v>#NAME?</v>
      </c>
      <c r="H275" s="22" t="e">
        <f aca="false">G275*0.5144</f>
        <v>#NAME?</v>
      </c>
      <c r="I275" s="18" t="n">
        <v>0</v>
      </c>
    </row>
    <row r="276" customFormat="false" ht="12.75" hidden="false" customHeight="false" outlineLevel="0" collapsed="false">
      <c r="A276" s="18" t="n">
        <f aca="false">B276-0.25</f>
        <v>2</v>
      </c>
      <c r="B276" s="18" t="n">
        <f aca="false">B275+0.25</f>
        <v>2.25</v>
      </c>
      <c r="C276" s="18" t="n">
        <v>11.3</v>
      </c>
      <c r="D276" s="18" t="n">
        <v>-80.8</v>
      </c>
      <c r="E276" s="18" t="n">
        <v>30</v>
      </c>
      <c r="F276" s="18" t="n">
        <f aca="false">E276*0.5144</f>
        <v>15.432</v>
      </c>
      <c r="G276" s="22" t="e">
        <f aca="false">arclethnm(C275,D275,C276,D276)/6</f>
        <v>#NAME?</v>
      </c>
      <c r="H276" s="22" t="e">
        <f aca="false">G276*0.5144</f>
        <v>#NAME?</v>
      </c>
      <c r="I276" s="18" t="n">
        <v>0</v>
      </c>
    </row>
    <row r="277" customFormat="false" ht="12.75" hidden="false" customHeight="false" outlineLevel="0" collapsed="false">
      <c r="A277" s="18" t="n">
        <f aca="false">B277-0.25</f>
        <v>2.25</v>
      </c>
      <c r="B277" s="18" t="n">
        <f aca="false">B276+0.25</f>
        <v>2.5</v>
      </c>
      <c r="C277" s="18" t="n">
        <v>11.5</v>
      </c>
      <c r="D277" s="18" t="n">
        <v>-81</v>
      </c>
      <c r="E277" s="18" t="n">
        <v>40</v>
      </c>
      <c r="F277" s="18" t="n">
        <f aca="false">E277*0.5144</f>
        <v>20.576</v>
      </c>
      <c r="G277" s="22" t="e">
        <f aca="false">arclethnm(C276,D276,C277,D277)/6</f>
        <v>#NAME?</v>
      </c>
      <c r="H277" s="22" t="e">
        <f aca="false">G277*0.5144</f>
        <v>#NAME?</v>
      </c>
      <c r="I277" s="18" t="n">
        <v>0</v>
      </c>
    </row>
    <row r="278" customFormat="false" ht="12.75" hidden="false" customHeight="false" outlineLevel="0" collapsed="false">
      <c r="A278" s="18" t="n">
        <f aca="false">B278-0.25</f>
        <v>2.5</v>
      </c>
      <c r="B278" s="18" t="n">
        <f aca="false">B277+0.25</f>
        <v>2.75</v>
      </c>
      <c r="C278" s="18" t="n">
        <v>12.1</v>
      </c>
      <c r="D278" s="18" t="n">
        <v>-81.3</v>
      </c>
      <c r="E278" s="18" t="n">
        <v>45</v>
      </c>
      <c r="F278" s="18" t="n">
        <f aca="false">E278*0.5144</f>
        <v>23.148</v>
      </c>
      <c r="G278" s="22" t="e">
        <f aca="false">arclethnm(C277,D277,C278,D278)/6</f>
        <v>#NAME?</v>
      </c>
      <c r="H278" s="22" t="e">
        <f aca="false">G278*0.5144</f>
        <v>#NAME?</v>
      </c>
      <c r="I278" s="18" t="n">
        <v>0</v>
      </c>
    </row>
    <row r="279" customFormat="false" ht="12.75" hidden="false" customHeight="false" outlineLevel="0" collapsed="false">
      <c r="A279" s="18" t="n">
        <f aca="false">B279-0.25</f>
        <v>2.75</v>
      </c>
      <c r="B279" s="18" t="n">
        <f aca="false">B278+0.25</f>
        <v>3</v>
      </c>
      <c r="C279" s="18" t="n">
        <v>12.7</v>
      </c>
      <c r="D279" s="18" t="n">
        <v>-81.6</v>
      </c>
      <c r="E279" s="18" t="n">
        <v>45</v>
      </c>
      <c r="F279" s="18" t="n">
        <f aca="false">E279*0.5144</f>
        <v>23.148</v>
      </c>
      <c r="G279" s="22" t="e">
        <f aca="false">arclethnm(C278,D278,C279,D279)/6</f>
        <v>#NAME?</v>
      </c>
      <c r="H279" s="22" t="e">
        <f aca="false">G279*0.5144</f>
        <v>#NAME?</v>
      </c>
      <c r="I279" s="18" t="n">
        <v>0</v>
      </c>
    </row>
    <row r="280" customFormat="false" ht="12.75" hidden="false" customHeight="false" outlineLevel="0" collapsed="false">
      <c r="A280" s="18" t="n">
        <f aca="false">B280-0.25</f>
        <v>3</v>
      </c>
      <c r="B280" s="18" t="n">
        <f aca="false">B279+0.25</f>
        <v>3.25</v>
      </c>
      <c r="C280" s="18" t="n">
        <v>13.4</v>
      </c>
      <c r="D280" s="18" t="n">
        <v>-82</v>
      </c>
      <c r="E280" s="18" t="n">
        <v>45</v>
      </c>
      <c r="F280" s="18" t="n">
        <f aca="false">E280*0.5144</f>
        <v>23.148</v>
      </c>
      <c r="G280" s="22" t="e">
        <f aca="false">arclethnm(C279,D279,C280,D280)/6</f>
        <v>#NAME?</v>
      </c>
      <c r="H280" s="22" t="e">
        <f aca="false">G280*0.5144</f>
        <v>#NAME?</v>
      </c>
      <c r="I280" s="18" t="n">
        <v>0</v>
      </c>
    </row>
    <row r="281" customFormat="false" ht="12.75" hidden="false" customHeight="false" outlineLevel="0" collapsed="false">
      <c r="A281" s="18" t="n">
        <f aca="false">B281-0.25</f>
        <v>3.25</v>
      </c>
      <c r="B281" s="18" t="n">
        <f aca="false">B280+0.25</f>
        <v>3.5</v>
      </c>
      <c r="C281" s="18" t="n">
        <v>14</v>
      </c>
      <c r="D281" s="18" t="n">
        <v>-82.5</v>
      </c>
      <c r="E281" s="18" t="n">
        <v>45</v>
      </c>
      <c r="F281" s="18" t="n">
        <f aca="false">E281*0.5144</f>
        <v>23.148</v>
      </c>
      <c r="G281" s="22" t="e">
        <f aca="false">arclethnm(C280,D280,C281,D281)/6</f>
        <v>#NAME?</v>
      </c>
      <c r="H281" s="22" t="e">
        <f aca="false">G281*0.5144</f>
        <v>#NAME?</v>
      </c>
      <c r="I281" s="18" t="n">
        <v>0</v>
      </c>
    </row>
    <row r="282" customFormat="false" ht="12.75" hidden="false" customHeight="false" outlineLevel="0" collapsed="false">
      <c r="A282" s="18" t="n">
        <f aca="false">B282-0.25</f>
        <v>3.5</v>
      </c>
      <c r="B282" s="18" t="n">
        <f aca="false">B281+0.25</f>
        <v>3.75</v>
      </c>
      <c r="C282" s="18" t="n">
        <v>14.6</v>
      </c>
      <c r="D282" s="18" t="n">
        <v>-83</v>
      </c>
      <c r="E282" s="18" t="n">
        <v>40</v>
      </c>
      <c r="F282" s="18" t="n">
        <f aca="false">E282*0.5144</f>
        <v>20.576</v>
      </c>
      <c r="G282" s="22" t="e">
        <f aca="false">arclethnm(C281,D281,C282,D282)/6</f>
        <v>#NAME?</v>
      </c>
      <c r="H282" s="22" t="e">
        <f aca="false">G282*0.5144</f>
        <v>#NAME?</v>
      </c>
      <c r="I282" s="18" t="n">
        <v>0</v>
      </c>
    </row>
    <row r="283" customFormat="false" ht="12.75" hidden="false" customHeight="false" outlineLevel="0" collapsed="false">
      <c r="A283" s="18" t="n">
        <f aca="false">B283-0.25</f>
        <v>3.75</v>
      </c>
      <c r="B283" s="18" t="n">
        <f aca="false">B282+0.25</f>
        <v>4</v>
      </c>
      <c r="C283" s="18" t="n">
        <v>15.2</v>
      </c>
      <c r="D283" s="18" t="n">
        <v>-83.5</v>
      </c>
      <c r="E283" s="18" t="n">
        <v>35</v>
      </c>
      <c r="F283" s="18" t="n">
        <f aca="false">E283*0.5144</f>
        <v>18.004</v>
      </c>
      <c r="G283" s="22" t="e">
        <f aca="false">arclethnm(C282,D282,C283,D283)/6</f>
        <v>#NAME?</v>
      </c>
      <c r="H283" s="22" t="e">
        <f aca="false">G283*0.5144</f>
        <v>#NAME?</v>
      </c>
      <c r="I283" s="18" t="n">
        <v>0</v>
      </c>
    </row>
    <row r="284" customFormat="false" ht="12.75" hidden="false" customHeight="false" outlineLevel="0" collapsed="false">
      <c r="A284" s="18" t="n">
        <f aca="false">B284-0.25</f>
        <v>4</v>
      </c>
      <c r="B284" s="18" t="n">
        <f aca="false">B283+0.25</f>
        <v>4.25</v>
      </c>
      <c r="C284" s="18" t="n">
        <v>15.8</v>
      </c>
      <c r="D284" s="18" t="n">
        <v>-84</v>
      </c>
      <c r="E284" s="18" t="n">
        <v>35</v>
      </c>
      <c r="F284" s="18" t="n">
        <f aca="false">E284*0.5144</f>
        <v>18.004</v>
      </c>
      <c r="G284" s="22" t="e">
        <f aca="false">arclethnm(C283,D283,C284,D284)/6</f>
        <v>#NAME?</v>
      </c>
      <c r="H284" s="22" t="e">
        <f aca="false">G284*0.5144</f>
        <v>#NAME?</v>
      </c>
      <c r="I284" s="18" t="n">
        <v>0</v>
      </c>
    </row>
    <row r="285" customFormat="false" ht="12.75" hidden="false" customHeight="false" outlineLevel="0" collapsed="false">
      <c r="A285" s="18" t="n">
        <f aca="false">B285-0.25</f>
        <v>4.25</v>
      </c>
      <c r="B285" s="18" t="n">
        <f aca="false">B284+0.25</f>
        <v>4.5</v>
      </c>
      <c r="C285" s="18" t="n">
        <v>16.5</v>
      </c>
      <c r="D285" s="18" t="n">
        <v>-84.5</v>
      </c>
      <c r="E285" s="18" t="n">
        <v>40</v>
      </c>
      <c r="F285" s="18" t="n">
        <f aca="false">E285*0.5144</f>
        <v>20.576</v>
      </c>
      <c r="G285" s="22" t="e">
        <f aca="false">arclethnm(C284,D284,C285,D285)/6</f>
        <v>#NAME?</v>
      </c>
      <c r="H285" s="22" t="e">
        <f aca="false">G285*0.5144</f>
        <v>#NAME?</v>
      </c>
      <c r="I285" s="18" t="n">
        <v>0</v>
      </c>
    </row>
    <row r="286" customFormat="false" ht="12.75" hidden="false" customHeight="false" outlineLevel="0" collapsed="false">
      <c r="A286" s="18" t="n">
        <f aca="false">B286-0.25</f>
        <v>4.5</v>
      </c>
      <c r="B286" s="18" t="n">
        <f aca="false">B285+0.25</f>
        <v>4.75</v>
      </c>
      <c r="C286" s="18" t="n">
        <v>17.5</v>
      </c>
      <c r="D286" s="18" t="n">
        <v>-85</v>
      </c>
      <c r="E286" s="18" t="n">
        <v>45</v>
      </c>
      <c r="F286" s="18" t="n">
        <f aca="false">E286*0.5144</f>
        <v>23.148</v>
      </c>
      <c r="G286" s="22" t="e">
        <f aca="false">arclethnm(C285,D285,C286,D286)/6</f>
        <v>#NAME?</v>
      </c>
      <c r="H286" s="22" t="e">
        <f aca="false">G286*0.5144</f>
        <v>#NAME?</v>
      </c>
      <c r="I286" s="18" t="n">
        <v>0</v>
      </c>
    </row>
    <row r="287" customFormat="false" ht="12.75" hidden="false" customHeight="false" outlineLevel="0" collapsed="false">
      <c r="A287" s="18" t="n">
        <f aca="false">B287-0.25</f>
        <v>4.75</v>
      </c>
      <c r="B287" s="18" t="n">
        <f aca="false">B286+0.25</f>
        <v>5</v>
      </c>
      <c r="C287" s="18" t="n">
        <v>18.5</v>
      </c>
      <c r="D287" s="18" t="n">
        <v>-85.5</v>
      </c>
      <c r="E287" s="18" t="n">
        <v>50</v>
      </c>
      <c r="F287" s="18" t="n">
        <f aca="false">E287*0.5144</f>
        <v>25.72</v>
      </c>
      <c r="G287" s="22" t="e">
        <f aca="false">arclethnm(C286,D286,C287,D287)/6</f>
        <v>#NAME?</v>
      </c>
      <c r="H287" s="22" t="e">
        <f aca="false">G287*0.5144</f>
        <v>#NAME?</v>
      </c>
      <c r="I287" s="18" t="n">
        <v>0</v>
      </c>
    </row>
    <row r="288" customFormat="false" ht="12.75" hidden="false" customHeight="false" outlineLevel="0" collapsed="false">
      <c r="A288" s="18" t="n">
        <f aca="false">B288-0.25</f>
        <v>5</v>
      </c>
      <c r="B288" s="18" t="n">
        <f aca="false">B287+0.25</f>
        <v>5.25</v>
      </c>
      <c r="C288" s="18" t="n">
        <v>19.5</v>
      </c>
      <c r="D288" s="18" t="n">
        <v>-86</v>
      </c>
      <c r="E288" s="18" t="n">
        <v>50</v>
      </c>
      <c r="F288" s="18" t="n">
        <f aca="false">E288*0.5144</f>
        <v>25.72</v>
      </c>
      <c r="G288" s="22" t="e">
        <f aca="false">arclethnm(C287,D287,C288,D288)/6</f>
        <v>#NAME?</v>
      </c>
      <c r="H288" s="22" t="e">
        <f aca="false">G288*0.5144</f>
        <v>#NAME?</v>
      </c>
      <c r="I288" s="18" t="n">
        <v>0</v>
      </c>
    </row>
    <row r="289" customFormat="false" ht="12.75" hidden="false" customHeight="false" outlineLevel="0" collapsed="false">
      <c r="A289" s="18" t="n">
        <f aca="false">B289-0.25</f>
        <v>5.25</v>
      </c>
      <c r="B289" s="18" t="n">
        <f aca="false">B288+0.25</f>
        <v>5.5</v>
      </c>
      <c r="C289" s="18" t="n">
        <v>20.5</v>
      </c>
      <c r="D289" s="18" t="n">
        <v>-86.5</v>
      </c>
      <c r="E289" s="18" t="n">
        <v>50</v>
      </c>
      <c r="F289" s="18" t="n">
        <f aca="false">E289*0.5144</f>
        <v>25.72</v>
      </c>
      <c r="G289" s="22" t="e">
        <f aca="false">arclethnm(C288,D288,C289,D289)/6</f>
        <v>#NAME?</v>
      </c>
      <c r="H289" s="22" t="e">
        <f aca="false">G289*0.5144</f>
        <v>#NAME?</v>
      </c>
      <c r="I289" s="18" t="n">
        <v>0</v>
      </c>
    </row>
    <row r="290" customFormat="false" ht="12.75" hidden="false" customHeight="false" outlineLevel="0" collapsed="false">
      <c r="A290" s="18" t="n">
        <f aca="false">B290-0.25</f>
        <v>5.5</v>
      </c>
      <c r="B290" s="18" t="n">
        <f aca="false">B289+0.25</f>
        <v>5.75</v>
      </c>
      <c r="C290" s="18" t="n">
        <v>21.4</v>
      </c>
      <c r="D290" s="18" t="n">
        <v>-87.1</v>
      </c>
      <c r="E290" s="18" t="n">
        <v>40</v>
      </c>
      <c r="F290" s="18" t="n">
        <f aca="false">E290*0.5144</f>
        <v>20.576</v>
      </c>
      <c r="G290" s="22" t="e">
        <f aca="false">arclethnm(C289,D289,C290,D290)/6</f>
        <v>#NAME?</v>
      </c>
      <c r="H290" s="22" t="e">
        <f aca="false">G290*0.5144</f>
        <v>#NAME?</v>
      </c>
      <c r="I290" s="18" t="n">
        <v>0</v>
      </c>
    </row>
    <row r="291" customFormat="false" ht="12.75" hidden="false" customHeight="false" outlineLevel="0" collapsed="false">
      <c r="A291" s="18" t="n">
        <f aca="false">B291-0.25</f>
        <v>5.75</v>
      </c>
      <c r="B291" s="18" t="n">
        <f aca="false">B290+0.25</f>
        <v>6</v>
      </c>
      <c r="C291" s="18" t="n">
        <v>22.3</v>
      </c>
      <c r="D291" s="18" t="n">
        <v>-87.8</v>
      </c>
      <c r="E291" s="18" t="n">
        <v>40</v>
      </c>
      <c r="F291" s="18" t="n">
        <f aca="false">E291*0.5144</f>
        <v>20.576</v>
      </c>
      <c r="G291" s="22" t="e">
        <f aca="false">arclethnm(C290,D290,C291,D291)/6</f>
        <v>#NAME?</v>
      </c>
      <c r="H291" s="22" t="e">
        <f aca="false">G291*0.5144</f>
        <v>#NAME?</v>
      </c>
      <c r="I291" s="18" t="n">
        <v>0</v>
      </c>
    </row>
    <row r="292" customFormat="false" ht="12.75" hidden="false" customHeight="false" outlineLevel="0" collapsed="false">
      <c r="A292" s="18" t="n">
        <f aca="false">B292-0.25</f>
        <v>6</v>
      </c>
      <c r="B292" s="18" t="n">
        <f aca="false">B291+0.25</f>
        <v>6.25</v>
      </c>
      <c r="C292" s="18" t="n">
        <v>23.2</v>
      </c>
      <c r="D292" s="18" t="n">
        <v>-88.5</v>
      </c>
      <c r="E292" s="18" t="n">
        <v>45</v>
      </c>
      <c r="F292" s="18" t="n">
        <f aca="false">E292*0.5144</f>
        <v>23.148</v>
      </c>
      <c r="G292" s="22" t="e">
        <f aca="false">arclethnm(C291,D291,C292,D292)/6</f>
        <v>#NAME?</v>
      </c>
      <c r="H292" s="22" t="e">
        <f aca="false">G292*0.5144</f>
        <v>#NAME?</v>
      </c>
      <c r="I292" s="18" t="n">
        <v>0</v>
      </c>
    </row>
    <row r="293" customFormat="false" ht="12.75" hidden="false" customHeight="false" outlineLevel="0" collapsed="false">
      <c r="A293" s="18" t="n">
        <f aca="false">B293-0.25</f>
        <v>6.25</v>
      </c>
      <c r="B293" s="18" t="n">
        <f aca="false">B292+0.25</f>
        <v>6.5</v>
      </c>
      <c r="C293" s="18" t="n">
        <v>24</v>
      </c>
      <c r="D293" s="18" t="n">
        <v>-89.2</v>
      </c>
      <c r="E293" s="18" t="n">
        <v>50</v>
      </c>
      <c r="F293" s="18" t="n">
        <f aca="false">E293*0.5144</f>
        <v>25.72</v>
      </c>
      <c r="G293" s="22" t="e">
        <f aca="false">arclethnm(C292,D292,C293,D293)/6</f>
        <v>#NAME?</v>
      </c>
      <c r="H293" s="22" t="e">
        <f aca="false">G293*0.5144</f>
        <v>#NAME?</v>
      </c>
      <c r="I293" s="18" t="n">
        <v>0</v>
      </c>
    </row>
    <row r="294" customFormat="false" ht="12.75" hidden="false" customHeight="false" outlineLevel="0" collapsed="false">
      <c r="A294" s="18" t="n">
        <f aca="false">B294-0.25</f>
        <v>6.5</v>
      </c>
      <c r="B294" s="18" t="n">
        <f aca="false">B293+0.25</f>
        <v>6.75</v>
      </c>
      <c r="C294" s="18" t="n">
        <v>24.5</v>
      </c>
      <c r="D294" s="18" t="n">
        <v>-90.2</v>
      </c>
      <c r="E294" s="18" t="n">
        <v>55</v>
      </c>
      <c r="F294" s="18" t="n">
        <f aca="false">E294*0.5144</f>
        <v>28.292</v>
      </c>
      <c r="G294" s="22" t="e">
        <f aca="false">arclethnm(C293,D293,C294,D294)/6</f>
        <v>#NAME?</v>
      </c>
      <c r="H294" s="22" t="e">
        <f aca="false">G294*0.5144</f>
        <v>#NAME?</v>
      </c>
      <c r="I294" s="18" t="n">
        <v>0</v>
      </c>
    </row>
    <row r="295" customFormat="false" ht="12.75" hidden="false" customHeight="false" outlineLevel="0" collapsed="false">
      <c r="A295" s="18" t="n">
        <f aca="false">B295-0.25</f>
        <v>6.75</v>
      </c>
      <c r="B295" s="18" t="n">
        <f aca="false">B294+0.25</f>
        <v>7</v>
      </c>
      <c r="C295" s="18" t="n">
        <v>24.9</v>
      </c>
      <c r="D295" s="18" t="n">
        <v>-91.7</v>
      </c>
      <c r="E295" s="18" t="n">
        <v>60</v>
      </c>
      <c r="F295" s="18" t="n">
        <f aca="false">E295*0.5144</f>
        <v>30.864</v>
      </c>
      <c r="G295" s="22" t="e">
        <f aca="false">arclethnm(C294,D294,C295,D295)/6</f>
        <v>#NAME?</v>
      </c>
      <c r="H295" s="22" t="e">
        <f aca="false">G295*0.5144</f>
        <v>#NAME?</v>
      </c>
      <c r="I295" s="18" t="n">
        <v>0</v>
      </c>
    </row>
    <row r="296" customFormat="false" ht="12.75" hidden="false" customHeight="false" outlineLevel="0" collapsed="false">
      <c r="A296" s="18" t="n">
        <f aca="false">B296-0.25</f>
        <v>7</v>
      </c>
      <c r="B296" s="18" t="n">
        <f aca="false">B295+0.25</f>
        <v>7.25</v>
      </c>
      <c r="C296" s="18" t="n">
        <v>25.2</v>
      </c>
      <c r="D296" s="18" t="n">
        <v>-93.3</v>
      </c>
      <c r="E296" s="18" t="n">
        <v>65</v>
      </c>
      <c r="F296" s="18" t="n">
        <f aca="false">E296*0.5144</f>
        <v>33.436</v>
      </c>
      <c r="G296" s="22" t="e">
        <f aca="false">arclethnm(C295,D295,C296,D296)/6</f>
        <v>#NAME?</v>
      </c>
      <c r="H296" s="22" t="e">
        <f aca="false">G296*0.5144</f>
        <v>#NAME?</v>
      </c>
      <c r="I296" s="18" t="n">
        <v>0</v>
      </c>
    </row>
    <row r="297" customFormat="false" ht="12.75" hidden="false" customHeight="false" outlineLevel="0" collapsed="false">
      <c r="A297" s="18" t="n">
        <f aca="false">B297-0.25</f>
        <v>7.25</v>
      </c>
      <c r="B297" s="18" t="n">
        <f aca="false">B296+0.25</f>
        <v>7.5</v>
      </c>
      <c r="C297" s="18" t="n">
        <v>25.7</v>
      </c>
      <c r="D297" s="18" t="n">
        <v>-94.7</v>
      </c>
      <c r="E297" s="18" t="n">
        <v>65</v>
      </c>
      <c r="F297" s="18" t="n">
        <f aca="false">E297*0.5144</f>
        <v>33.436</v>
      </c>
      <c r="G297" s="22" t="e">
        <f aca="false">arclethnm(C296,D296,C297,D297)/6</f>
        <v>#NAME?</v>
      </c>
      <c r="H297" s="22" t="e">
        <f aca="false">G297*0.5144</f>
        <v>#NAME?</v>
      </c>
      <c r="I297" s="18" t="n">
        <v>0</v>
      </c>
    </row>
    <row r="298" customFormat="false" ht="12.75" hidden="false" customHeight="false" outlineLevel="0" collapsed="false">
      <c r="A298" s="18" t="n">
        <f aca="false">B298-0.25</f>
        <v>7.5</v>
      </c>
      <c r="B298" s="18" t="n">
        <f aca="false">B297+0.25</f>
        <v>7.75</v>
      </c>
      <c r="C298" s="18" t="n">
        <v>26.3</v>
      </c>
      <c r="D298" s="18" t="n">
        <v>-95.9</v>
      </c>
      <c r="E298" s="18" t="n">
        <v>65</v>
      </c>
      <c r="F298" s="18" t="n">
        <f aca="false">E298*0.5144</f>
        <v>33.436</v>
      </c>
      <c r="G298" s="22" t="e">
        <f aca="false">arclethnm(C297,D297,C298,D298)/6</f>
        <v>#NAME?</v>
      </c>
      <c r="H298" s="22" t="e">
        <f aca="false">G298*0.5144</f>
        <v>#NAME?</v>
      </c>
      <c r="I298" s="18" t="n">
        <v>0</v>
      </c>
    </row>
    <row r="299" customFormat="false" ht="12.75" hidden="false" customHeight="false" outlineLevel="0" collapsed="false">
      <c r="A299" s="18" t="n">
        <f aca="false">B299-0.25</f>
        <v>7.75</v>
      </c>
      <c r="B299" s="18" t="n">
        <f aca="false">B298+0.25</f>
        <v>8</v>
      </c>
      <c r="C299" s="18" t="n">
        <v>27</v>
      </c>
      <c r="D299" s="18" t="n">
        <v>-97.2</v>
      </c>
      <c r="E299" s="18" t="n">
        <v>65</v>
      </c>
      <c r="F299" s="18" t="n">
        <f aca="false">E299*0.5144</f>
        <v>33.436</v>
      </c>
      <c r="G299" s="22" t="e">
        <f aca="false">arclethnm(C298,D298,C299,D299)/6</f>
        <v>#NAME?</v>
      </c>
      <c r="H299" s="22" t="e">
        <f aca="false">G299*0.5144</f>
        <v>#NAME?</v>
      </c>
      <c r="I299" s="18" t="n">
        <v>0</v>
      </c>
    </row>
    <row r="300" customFormat="false" ht="12.75" hidden="false" customHeight="false" outlineLevel="0" collapsed="false">
      <c r="A300" s="18" t="n">
        <f aca="false">B300-0.25</f>
        <v>8</v>
      </c>
      <c r="B300" s="18" t="n">
        <f aca="false">B299+0.25</f>
        <v>8.25</v>
      </c>
      <c r="C300" s="18" t="n">
        <v>27.1</v>
      </c>
      <c r="D300" s="18" t="n">
        <v>-97.4</v>
      </c>
      <c r="E300" s="18" t="n">
        <v>65</v>
      </c>
      <c r="F300" s="18" t="n">
        <f aca="false">E300*0.5144</f>
        <v>33.436</v>
      </c>
      <c r="G300" s="22" t="e">
        <f aca="false">arclethnm(C299,D299,C300,D300)/6</f>
        <v>#NAME?</v>
      </c>
      <c r="H300" s="22" t="e">
        <f aca="false">G300*0.5144</f>
        <v>#NAME?</v>
      </c>
      <c r="I300" s="18" t="n">
        <v>0</v>
      </c>
    </row>
    <row r="301" customFormat="false" ht="12.75" hidden="false" customHeight="false" outlineLevel="0" collapsed="false">
      <c r="A301" s="18" t="n">
        <f aca="false">B301-0.25</f>
        <v>8.25</v>
      </c>
      <c r="B301" s="18" t="n">
        <f aca="false">B300+0.25</f>
        <v>8.5</v>
      </c>
      <c r="C301" s="18" t="n">
        <v>27.7</v>
      </c>
      <c r="D301" s="18" t="n">
        <v>-98.4</v>
      </c>
      <c r="E301" s="18" t="n">
        <v>45</v>
      </c>
      <c r="F301" s="18" t="n">
        <f aca="false">E301*0.5144</f>
        <v>23.148</v>
      </c>
      <c r="G301" s="22" t="e">
        <f aca="false">arclethnm(C300,D300,C301,D301)/6</f>
        <v>#NAME?</v>
      </c>
      <c r="H301" s="22" t="e">
        <f aca="false">G301*0.5144</f>
        <v>#NAME?</v>
      </c>
      <c r="I301" s="18" t="n">
        <v>0</v>
      </c>
    </row>
    <row r="302" customFormat="false" ht="12.75" hidden="false" customHeight="false" outlineLevel="0" collapsed="false">
      <c r="A302" s="18" t="n">
        <f aca="false">B302-0.25</f>
        <v>8.5</v>
      </c>
      <c r="B302" s="18" t="n">
        <f aca="false">B301+0.25</f>
        <v>8.75</v>
      </c>
      <c r="C302" s="18" t="n">
        <v>28.5</v>
      </c>
      <c r="D302" s="18" t="n">
        <v>-99.5</v>
      </c>
      <c r="E302" s="18" t="n">
        <v>35</v>
      </c>
      <c r="F302" s="18" t="n">
        <f aca="false">E302*0.5144</f>
        <v>18.004</v>
      </c>
      <c r="G302" s="22" t="e">
        <f aca="false">arclethnm(C301,D301,C302,D302)/6</f>
        <v>#NAME?</v>
      </c>
      <c r="H302" s="22" t="e">
        <f aca="false">G302*0.5144</f>
        <v>#NAME?</v>
      </c>
      <c r="I302" s="18" t="n">
        <v>0</v>
      </c>
    </row>
    <row r="303" customFormat="false" ht="12.75" hidden="false" customHeight="false" outlineLevel="0" collapsed="false">
      <c r="A303" s="18" t="n">
        <f aca="false">B303-0.25</f>
        <v>8.75</v>
      </c>
      <c r="B303" s="18" t="n">
        <f aca="false">B302+0.25</f>
        <v>9</v>
      </c>
      <c r="C303" s="18" t="n">
        <v>29.3</v>
      </c>
      <c r="D303" s="18" t="n">
        <v>-100.3</v>
      </c>
      <c r="E303" s="18" t="n">
        <v>30</v>
      </c>
      <c r="F303" s="18" t="n">
        <f aca="false">E303*0.5144</f>
        <v>15.432</v>
      </c>
      <c r="G303" s="22" t="e">
        <f aca="false">arclethnm(C302,D302,C303,D303)/6</f>
        <v>#NAME?</v>
      </c>
      <c r="H303" s="22" t="e">
        <f aca="false">G303*0.5144</f>
        <v>#NAME?</v>
      </c>
      <c r="I303" s="18" t="n">
        <v>0</v>
      </c>
    </row>
    <row r="304" customFormat="false" ht="12.75" hidden="false" customHeight="false" outlineLevel="0" collapsed="false">
      <c r="A304" s="18" t="n">
        <f aca="false">B304-0.25</f>
        <v>9</v>
      </c>
      <c r="B304" s="18" t="n">
        <f aca="false">B303+0.25</f>
        <v>9.25</v>
      </c>
      <c r="C304" s="18" t="n">
        <v>30</v>
      </c>
      <c r="D304" s="18" t="n">
        <v>-100.8</v>
      </c>
      <c r="E304" s="18" t="n">
        <v>25</v>
      </c>
      <c r="F304" s="18" t="n">
        <f aca="false">E304*0.5144</f>
        <v>12.86</v>
      </c>
      <c r="G304" s="22" t="e">
        <f aca="false">arclethnm(C303,D303,C304,D304)/6</f>
        <v>#NAME?</v>
      </c>
      <c r="H304" s="22" t="e">
        <f aca="false">G304*0.5144</f>
        <v>#NAME?</v>
      </c>
      <c r="I304" s="18" t="n">
        <v>0</v>
      </c>
    </row>
    <row r="305" customFormat="false" ht="12.75" hidden="false" customHeight="false" outlineLevel="0" collapsed="false">
      <c r="A305" s="0"/>
      <c r="B305" s="0"/>
      <c r="C305" s="0"/>
      <c r="D305" s="0"/>
      <c r="E305" s="0"/>
      <c r="F305" s="0"/>
      <c r="G305" s="22"/>
      <c r="H305" s="22"/>
      <c r="I305" s="0"/>
    </row>
    <row r="306" customFormat="false" ht="12.75" hidden="false" customHeight="false" outlineLevel="0" collapsed="false">
      <c r="A306" s="0"/>
      <c r="B306" s="0"/>
      <c r="C306" s="0"/>
      <c r="D306" s="0"/>
      <c r="E306" s="0"/>
      <c r="F306" s="0"/>
      <c r="G306" s="22"/>
      <c r="H306" s="22"/>
      <c r="I306" s="0"/>
    </row>
    <row r="307" customFormat="false" ht="12.75" hidden="false" customHeight="false" outlineLevel="0" collapsed="false">
      <c r="A307" s="0"/>
      <c r="B307" s="18" t="n">
        <v>1915</v>
      </c>
      <c r="C307" s="0"/>
      <c r="D307" s="0"/>
      <c r="E307" s="0"/>
      <c r="F307" s="0"/>
      <c r="G307" s="22"/>
      <c r="H307" s="22"/>
      <c r="I307" s="0"/>
    </row>
    <row r="308" customFormat="false" ht="12.75" hidden="false" customHeight="false" outlineLevel="0" collapsed="false">
      <c r="A308" s="18" t="n">
        <v>1</v>
      </c>
      <c r="B308" s="18" t="n">
        <v>1.5</v>
      </c>
      <c r="C308" s="18" t="n">
        <v>14</v>
      </c>
      <c r="D308" s="18" t="n">
        <v>-26</v>
      </c>
      <c r="E308" s="18" t="n">
        <v>30</v>
      </c>
      <c r="F308" s="18" t="n">
        <f aca="false">E308*0.5144</f>
        <v>15.432</v>
      </c>
      <c r="G308" s="22"/>
      <c r="H308" s="22"/>
      <c r="I308" s="18" t="n">
        <v>0</v>
      </c>
    </row>
    <row r="309" customFormat="false" ht="12.75" hidden="false" customHeight="false" outlineLevel="0" collapsed="false">
      <c r="A309" s="18" t="n">
        <f aca="false">B309-0.5</f>
        <v>1.25</v>
      </c>
      <c r="B309" s="18" t="n">
        <f aca="false">B308+0.25</f>
        <v>1.75</v>
      </c>
      <c r="C309" s="18" t="n">
        <v>14</v>
      </c>
      <c r="D309" s="18" t="n">
        <v>-27.8</v>
      </c>
      <c r="E309" s="18" t="n">
        <v>30</v>
      </c>
      <c r="F309" s="18" t="n">
        <f aca="false">E309*0.5144</f>
        <v>15.432</v>
      </c>
      <c r="G309" s="22" t="e">
        <f aca="false">arclethnm(C308,D308,C309,D309)/6</f>
        <v>#NAME?</v>
      </c>
      <c r="H309" s="22" t="e">
        <f aca="false">G309*0.5144</f>
        <v>#NAME?</v>
      </c>
      <c r="I309" s="18" t="n">
        <v>0</v>
      </c>
    </row>
    <row r="310" customFormat="false" ht="12.75" hidden="false" customHeight="false" outlineLevel="0" collapsed="false">
      <c r="A310" s="18" t="n">
        <f aca="false">B310-0.5</f>
        <v>1.5</v>
      </c>
      <c r="B310" s="18" t="n">
        <f aca="false">B309+0.25</f>
        <v>2</v>
      </c>
      <c r="C310" s="18" t="n">
        <v>14.1</v>
      </c>
      <c r="D310" s="18" t="n">
        <v>-29.6</v>
      </c>
      <c r="E310" s="18" t="n">
        <v>35</v>
      </c>
      <c r="F310" s="18" t="n">
        <f aca="false">E310*0.5144</f>
        <v>18.004</v>
      </c>
      <c r="G310" s="22" t="e">
        <f aca="false">arclethnm(C309,D309,C310,D310)/6</f>
        <v>#NAME?</v>
      </c>
      <c r="H310" s="22" t="e">
        <f aca="false">G310*0.5144</f>
        <v>#NAME?</v>
      </c>
      <c r="I310" s="18" t="n">
        <v>0</v>
      </c>
    </row>
    <row r="311" customFormat="false" ht="12.75" hidden="false" customHeight="false" outlineLevel="0" collapsed="false">
      <c r="A311" s="18" t="n">
        <f aca="false">B311-0.5</f>
        <v>1.75</v>
      </c>
      <c r="B311" s="18" t="n">
        <f aca="false">B310+0.25</f>
        <v>2.25</v>
      </c>
      <c r="C311" s="18" t="n">
        <v>14.1</v>
      </c>
      <c r="D311" s="18" t="n">
        <v>-31.3</v>
      </c>
      <c r="E311" s="18" t="n">
        <v>35</v>
      </c>
      <c r="F311" s="18" t="n">
        <f aca="false">E311*0.5144</f>
        <v>18.004</v>
      </c>
      <c r="G311" s="22" t="e">
        <f aca="false">arclethnm(C310,D310,C311,D311)/6</f>
        <v>#NAME?</v>
      </c>
      <c r="H311" s="22" t="e">
        <f aca="false">G311*0.5144</f>
        <v>#NAME?</v>
      </c>
      <c r="I311" s="18" t="n">
        <v>0</v>
      </c>
    </row>
    <row r="312" customFormat="false" ht="12.75" hidden="false" customHeight="false" outlineLevel="0" collapsed="false">
      <c r="A312" s="18" t="n">
        <f aca="false">B312-0.5</f>
        <v>2</v>
      </c>
      <c r="B312" s="18" t="n">
        <f aca="false">B311+0.25</f>
        <v>2.5</v>
      </c>
      <c r="C312" s="18" t="n">
        <v>14.2</v>
      </c>
      <c r="D312" s="18" t="n">
        <v>-33</v>
      </c>
      <c r="E312" s="18" t="n">
        <v>35</v>
      </c>
      <c r="F312" s="18" t="n">
        <f aca="false">E312*0.5144</f>
        <v>18.004</v>
      </c>
      <c r="G312" s="22" t="e">
        <f aca="false">arclethnm(C311,D311,C312,D312)/6</f>
        <v>#NAME?</v>
      </c>
      <c r="H312" s="22" t="e">
        <f aca="false">G312*0.5144</f>
        <v>#NAME?</v>
      </c>
      <c r="I312" s="18" t="n">
        <v>0</v>
      </c>
    </row>
    <row r="313" customFormat="false" ht="12.75" hidden="false" customHeight="false" outlineLevel="0" collapsed="false">
      <c r="A313" s="18" t="n">
        <f aca="false">B313-0.5</f>
        <v>2.25</v>
      </c>
      <c r="B313" s="18" t="n">
        <f aca="false">B312+0.25</f>
        <v>2.75</v>
      </c>
      <c r="C313" s="18" t="n">
        <v>14.2</v>
      </c>
      <c r="D313" s="18" t="n">
        <v>-34.5</v>
      </c>
      <c r="E313" s="18" t="n">
        <v>35</v>
      </c>
      <c r="F313" s="18" t="n">
        <f aca="false">E313*0.5144</f>
        <v>18.004</v>
      </c>
      <c r="G313" s="22" t="e">
        <f aca="false">arclethnm(C312,D312,C313,D313)/6</f>
        <v>#NAME?</v>
      </c>
      <c r="H313" s="22" t="e">
        <f aca="false">G313*0.5144</f>
        <v>#NAME?</v>
      </c>
      <c r="I313" s="18" t="n">
        <v>0</v>
      </c>
    </row>
    <row r="314" customFormat="false" ht="12.75" hidden="false" customHeight="false" outlineLevel="0" collapsed="false">
      <c r="A314" s="18" t="n">
        <f aca="false">B314-0.5</f>
        <v>2.5</v>
      </c>
      <c r="B314" s="18" t="n">
        <f aca="false">B313+0.25</f>
        <v>3</v>
      </c>
      <c r="C314" s="18" t="n">
        <v>14.3</v>
      </c>
      <c r="D314" s="18" t="n">
        <v>-36</v>
      </c>
      <c r="E314" s="18" t="n">
        <v>35</v>
      </c>
      <c r="F314" s="18" t="n">
        <f aca="false">E314*0.5144</f>
        <v>18.004</v>
      </c>
      <c r="G314" s="22" t="e">
        <f aca="false">arclethnm(C313,D313,C314,D314)/6</f>
        <v>#NAME?</v>
      </c>
      <c r="H314" s="22" t="e">
        <f aca="false">G314*0.5144</f>
        <v>#NAME?</v>
      </c>
      <c r="I314" s="18" t="n">
        <v>0</v>
      </c>
    </row>
    <row r="315" customFormat="false" ht="12.75" hidden="false" customHeight="false" outlineLevel="0" collapsed="false">
      <c r="A315" s="18" t="n">
        <f aca="false">B315-0.5</f>
        <v>2.75</v>
      </c>
      <c r="B315" s="18" t="n">
        <f aca="false">B314+0.25</f>
        <v>3.25</v>
      </c>
      <c r="C315" s="18" t="n">
        <v>14.4</v>
      </c>
      <c r="D315" s="18" t="n">
        <v>-37.5</v>
      </c>
      <c r="E315" s="18" t="n">
        <v>35</v>
      </c>
      <c r="F315" s="18" t="n">
        <f aca="false">E315*0.5144</f>
        <v>18.004</v>
      </c>
      <c r="G315" s="22" t="e">
        <f aca="false">arclethnm(C314,D314,C315,D315)/6</f>
        <v>#NAME?</v>
      </c>
      <c r="H315" s="22" t="e">
        <f aca="false">G315*0.5144</f>
        <v>#NAME?</v>
      </c>
      <c r="I315" s="18" t="n">
        <v>0</v>
      </c>
    </row>
    <row r="316" customFormat="false" ht="12.75" hidden="false" customHeight="false" outlineLevel="0" collapsed="false">
      <c r="A316" s="18" t="n">
        <f aca="false">B316-0.5</f>
        <v>3</v>
      </c>
      <c r="B316" s="18" t="n">
        <f aca="false">B315+0.25</f>
        <v>3.5</v>
      </c>
      <c r="C316" s="18" t="n">
        <v>14.5</v>
      </c>
      <c r="D316" s="18" t="n">
        <v>-39</v>
      </c>
      <c r="E316" s="18" t="n">
        <v>40</v>
      </c>
      <c r="F316" s="18" t="n">
        <f aca="false">E316*0.5144</f>
        <v>20.576</v>
      </c>
      <c r="G316" s="22" t="e">
        <f aca="false">arclethnm(C315,D315,C316,D316)/6</f>
        <v>#NAME?</v>
      </c>
      <c r="H316" s="22" t="e">
        <f aca="false">G316*0.5144</f>
        <v>#NAME?</v>
      </c>
      <c r="I316" s="18" t="n">
        <v>0</v>
      </c>
    </row>
    <row r="317" customFormat="false" ht="12.75" hidden="false" customHeight="false" outlineLevel="0" collapsed="false">
      <c r="A317" s="18" t="n">
        <f aca="false">B317-0.5</f>
        <v>3.25</v>
      </c>
      <c r="B317" s="18" t="n">
        <f aca="false">B316+0.25</f>
        <v>3.75</v>
      </c>
      <c r="C317" s="18" t="n">
        <v>14.6</v>
      </c>
      <c r="D317" s="18" t="n">
        <v>-40.5</v>
      </c>
      <c r="E317" s="18" t="n">
        <v>40</v>
      </c>
      <c r="F317" s="18" t="n">
        <f aca="false">E317*0.5144</f>
        <v>20.576</v>
      </c>
      <c r="G317" s="22" t="e">
        <f aca="false">arclethnm(C316,D316,C317,D317)/6</f>
        <v>#NAME?</v>
      </c>
      <c r="H317" s="22" t="e">
        <f aca="false">G317*0.5144</f>
        <v>#NAME?</v>
      </c>
      <c r="I317" s="18" t="n">
        <v>0</v>
      </c>
    </row>
    <row r="318" customFormat="false" ht="12.75" hidden="false" customHeight="false" outlineLevel="0" collapsed="false">
      <c r="A318" s="18" t="n">
        <f aca="false">B318-0.5</f>
        <v>3.5</v>
      </c>
      <c r="B318" s="18" t="n">
        <f aca="false">B317+0.25</f>
        <v>4</v>
      </c>
      <c r="C318" s="18" t="n">
        <v>14.6</v>
      </c>
      <c r="D318" s="18" t="n">
        <v>-42</v>
      </c>
      <c r="E318" s="18" t="n">
        <v>45</v>
      </c>
      <c r="F318" s="18" t="n">
        <f aca="false">E318*0.5144</f>
        <v>23.148</v>
      </c>
      <c r="G318" s="22" t="e">
        <f aca="false">arclethnm(C317,D317,C318,D318)/6</f>
        <v>#NAME?</v>
      </c>
      <c r="H318" s="22" t="e">
        <f aca="false">G318*0.5144</f>
        <v>#NAME?</v>
      </c>
      <c r="I318" s="18" t="n">
        <v>0</v>
      </c>
    </row>
    <row r="319" customFormat="false" ht="12.75" hidden="false" customHeight="false" outlineLevel="0" collapsed="false">
      <c r="A319" s="18" t="n">
        <f aca="false">B319-0.5</f>
        <v>3.75</v>
      </c>
      <c r="B319" s="18" t="n">
        <f aca="false">B318+0.25</f>
        <v>4.25</v>
      </c>
      <c r="C319" s="18" t="n">
        <v>14.7</v>
      </c>
      <c r="D319" s="18" t="n">
        <v>-43.5</v>
      </c>
      <c r="E319" s="18" t="n">
        <v>50</v>
      </c>
      <c r="F319" s="18" t="n">
        <f aca="false">E319*0.5144</f>
        <v>25.72</v>
      </c>
      <c r="G319" s="22" t="e">
        <f aca="false">arclethnm(C318,D318,C319,D319)/6</f>
        <v>#NAME?</v>
      </c>
      <c r="H319" s="22" t="e">
        <f aca="false">G319*0.5144</f>
        <v>#NAME?</v>
      </c>
      <c r="I319" s="18" t="n">
        <v>0</v>
      </c>
    </row>
    <row r="320" customFormat="false" ht="12.75" hidden="false" customHeight="false" outlineLevel="0" collapsed="false">
      <c r="A320" s="18" t="n">
        <f aca="false">B320-0.5</f>
        <v>4</v>
      </c>
      <c r="B320" s="18" t="n">
        <f aca="false">B319+0.25</f>
        <v>4.5</v>
      </c>
      <c r="C320" s="18" t="n">
        <v>14.8</v>
      </c>
      <c r="D320" s="18" t="n">
        <v>-45</v>
      </c>
      <c r="E320" s="18" t="n">
        <v>55</v>
      </c>
      <c r="F320" s="18" t="n">
        <f aca="false">E320*0.5144</f>
        <v>28.292</v>
      </c>
      <c r="G320" s="22" t="e">
        <f aca="false">arclethnm(C319,D319,C320,D320)/6</f>
        <v>#NAME?</v>
      </c>
      <c r="H320" s="22" t="e">
        <f aca="false">G320*0.5144</f>
        <v>#NAME?</v>
      </c>
      <c r="I320" s="18" t="n">
        <v>0</v>
      </c>
    </row>
    <row r="321" customFormat="false" ht="12.75" hidden="false" customHeight="false" outlineLevel="0" collapsed="false">
      <c r="A321" s="18" t="n">
        <f aca="false">B321-0.5</f>
        <v>4.25</v>
      </c>
      <c r="B321" s="18" t="n">
        <f aca="false">B320+0.25</f>
        <v>4.75</v>
      </c>
      <c r="C321" s="18" t="n">
        <v>14.8</v>
      </c>
      <c r="D321" s="18" t="n">
        <v>-46.8</v>
      </c>
      <c r="E321" s="18" t="n">
        <v>60</v>
      </c>
      <c r="F321" s="18" t="n">
        <f aca="false">E321*0.5144</f>
        <v>30.864</v>
      </c>
      <c r="G321" s="22" t="e">
        <f aca="false">arclethnm(C320,D320,C321,D321)/6</f>
        <v>#NAME?</v>
      </c>
      <c r="H321" s="22" t="e">
        <f aca="false">G321*0.5144</f>
        <v>#NAME?</v>
      </c>
      <c r="I321" s="18" t="n">
        <v>0</v>
      </c>
    </row>
    <row r="322" customFormat="false" ht="12.75" hidden="false" customHeight="false" outlineLevel="0" collapsed="false">
      <c r="A322" s="18" t="n">
        <f aca="false">B322-0.5</f>
        <v>4.5</v>
      </c>
      <c r="B322" s="18" t="n">
        <f aca="false">B321+0.25</f>
        <v>5</v>
      </c>
      <c r="C322" s="18" t="n">
        <v>14.9</v>
      </c>
      <c r="D322" s="18" t="n">
        <v>-48.8</v>
      </c>
      <c r="E322" s="18" t="n">
        <v>65</v>
      </c>
      <c r="F322" s="18" t="n">
        <f aca="false">E322*0.5144</f>
        <v>33.436</v>
      </c>
      <c r="G322" s="22" t="e">
        <f aca="false">arclethnm(C321,D321,C322,D322)/6</f>
        <v>#NAME?</v>
      </c>
      <c r="H322" s="22" t="e">
        <f aca="false">G322*0.5144</f>
        <v>#NAME?</v>
      </c>
      <c r="I322" s="18" t="n">
        <v>0</v>
      </c>
    </row>
    <row r="323" customFormat="false" ht="12.75" hidden="false" customHeight="false" outlineLevel="0" collapsed="false">
      <c r="A323" s="18" t="n">
        <f aca="false">B323-0.5</f>
        <v>4.75</v>
      </c>
      <c r="B323" s="18" t="n">
        <f aca="false">B322+0.25</f>
        <v>5.25</v>
      </c>
      <c r="C323" s="18" t="n">
        <v>15</v>
      </c>
      <c r="D323" s="18" t="n">
        <v>-50.8</v>
      </c>
      <c r="E323" s="18" t="n">
        <v>70</v>
      </c>
      <c r="F323" s="18" t="n">
        <f aca="false">E323*0.5144</f>
        <v>36.008</v>
      </c>
      <c r="G323" s="22" t="e">
        <f aca="false">arclethnm(C322,D322,C323,D323)/6</f>
        <v>#NAME?</v>
      </c>
      <c r="H323" s="22" t="e">
        <f aca="false">G323*0.5144</f>
        <v>#NAME?</v>
      </c>
      <c r="I323" s="18" t="n">
        <v>0</v>
      </c>
    </row>
    <row r="324" customFormat="false" ht="12.75" hidden="false" customHeight="false" outlineLevel="0" collapsed="false">
      <c r="A324" s="18" t="n">
        <f aca="false">B324-0.5</f>
        <v>5</v>
      </c>
      <c r="B324" s="18" t="n">
        <f aca="false">B323+0.25</f>
        <v>5.5</v>
      </c>
      <c r="C324" s="18" t="n">
        <v>15.1</v>
      </c>
      <c r="D324" s="18" t="n">
        <v>-52.5</v>
      </c>
      <c r="E324" s="18" t="n">
        <v>70</v>
      </c>
      <c r="F324" s="18" t="n">
        <f aca="false">E324*0.5144</f>
        <v>36.008</v>
      </c>
      <c r="G324" s="22" t="e">
        <f aca="false">arclethnm(C323,D323,C324,D324)/6</f>
        <v>#NAME?</v>
      </c>
      <c r="H324" s="22" t="e">
        <f aca="false">G324*0.5144</f>
        <v>#NAME?</v>
      </c>
      <c r="I324" s="18" t="n">
        <v>0</v>
      </c>
    </row>
    <row r="325" customFormat="false" ht="12.75" hidden="false" customHeight="false" outlineLevel="0" collapsed="false">
      <c r="A325" s="18" t="n">
        <f aca="false">B325-0.5</f>
        <v>5.25</v>
      </c>
      <c r="B325" s="18" t="n">
        <f aca="false">B324+0.25</f>
        <v>5.75</v>
      </c>
      <c r="C325" s="18" t="n">
        <v>15.1</v>
      </c>
      <c r="D325" s="18" t="n">
        <v>-54</v>
      </c>
      <c r="E325" s="18" t="n">
        <v>70</v>
      </c>
      <c r="F325" s="18" t="n">
        <f aca="false">E325*0.5144</f>
        <v>36.008</v>
      </c>
      <c r="G325" s="22" t="e">
        <f aca="false">arclethnm(C324,D324,C325,D325)/6</f>
        <v>#NAME?</v>
      </c>
      <c r="H325" s="22" t="e">
        <f aca="false">G325*0.5144</f>
        <v>#NAME?</v>
      </c>
      <c r="I325" s="18" t="n">
        <v>0</v>
      </c>
    </row>
    <row r="326" customFormat="false" ht="12.75" hidden="false" customHeight="false" outlineLevel="0" collapsed="false">
      <c r="A326" s="18" t="n">
        <f aca="false">B326-0.5</f>
        <v>5.5</v>
      </c>
      <c r="B326" s="18" t="n">
        <f aca="false">B325+0.25</f>
        <v>6</v>
      </c>
      <c r="C326" s="18" t="n">
        <v>15.2</v>
      </c>
      <c r="D326" s="18" t="n">
        <v>-55.5</v>
      </c>
      <c r="E326" s="18" t="n">
        <v>75</v>
      </c>
      <c r="F326" s="18" t="n">
        <f aca="false">E326*0.5144</f>
        <v>38.58</v>
      </c>
      <c r="G326" s="22" t="e">
        <f aca="false">arclethnm(C325,D325,C326,D326)/6</f>
        <v>#NAME?</v>
      </c>
      <c r="H326" s="22" t="e">
        <f aca="false">G326*0.5144</f>
        <v>#NAME?</v>
      </c>
      <c r="I326" s="18" t="n">
        <v>0</v>
      </c>
    </row>
    <row r="327" customFormat="false" ht="12.75" hidden="false" customHeight="false" outlineLevel="0" collapsed="false">
      <c r="A327" s="18" t="n">
        <f aca="false">B327-0.5</f>
        <v>5.75</v>
      </c>
      <c r="B327" s="18" t="n">
        <f aca="false">B326+0.25</f>
        <v>6.25</v>
      </c>
      <c r="C327" s="18" t="n">
        <v>15.2</v>
      </c>
      <c r="D327" s="18" t="n">
        <v>-57</v>
      </c>
      <c r="E327" s="18" t="n">
        <v>75</v>
      </c>
      <c r="F327" s="18" t="n">
        <f aca="false">E327*0.5144</f>
        <v>38.58</v>
      </c>
      <c r="G327" s="22" t="e">
        <f aca="false">arclethnm(C326,D326,C327,D327)/6</f>
        <v>#NAME?</v>
      </c>
      <c r="H327" s="22" t="e">
        <f aca="false">G327*0.5144</f>
        <v>#NAME?</v>
      </c>
      <c r="I327" s="18" t="n">
        <v>0</v>
      </c>
    </row>
    <row r="328" customFormat="false" ht="12.75" hidden="false" customHeight="false" outlineLevel="0" collapsed="false">
      <c r="A328" s="18" t="n">
        <f aca="false">B328-0.5</f>
        <v>6</v>
      </c>
      <c r="B328" s="18" t="n">
        <f aca="false">B327+0.25</f>
        <v>6.5</v>
      </c>
      <c r="C328" s="18" t="n">
        <v>15.3</v>
      </c>
      <c r="D328" s="18" t="n">
        <v>-58.5</v>
      </c>
      <c r="E328" s="18" t="n">
        <v>75</v>
      </c>
      <c r="F328" s="18" t="n">
        <f aca="false">E328*0.5144</f>
        <v>38.58</v>
      </c>
      <c r="G328" s="22" t="e">
        <f aca="false">arclethnm(C327,D327,C328,D328)/6</f>
        <v>#NAME?</v>
      </c>
      <c r="H328" s="22" t="e">
        <f aca="false">G328*0.5144</f>
        <v>#NAME?</v>
      </c>
      <c r="I328" s="18" t="n">
        <v>0</v>
      </c>
    </row>
    <row r="329" customFormat="false" ht="12.75" hidden="false" customHeight="false" outlineLevel="0" collapsed="false">
      <c r="A329" s="18" t="n">
        <f aca="false">B329-0.5</f>
        <v>6.25</v>
      </c>
      <c r="B329" s="18" t="n">
        <f aca="false">B328+0.25</f>
        <v>6.75</v>
      </c>
      <c r="C329" s="18" t="n">
        <v>15.3</v>
      </c>
      <c r="D329" s="18" t="n">
        <v>-59.7</v>
      </c>
      <c r="E329" s="18" t="n">
        <v>80</v>
      </c>
      <c r="F329" s="18" t="n">
        <f aca="false">E329*0.5144</f>
        <v>41.152</v>
      </c>
      <c r="G329" s="22" t="e">
        <f aca="false">arclethnm(C328,D328,C329,D329)/6</f>
        <v>#NAME?</v>
      </c>
      <c r="H329" s="22" t="e">
        <f aca="false">G329*0.5144</f>
        <v>#NAME?</v>
      </c>
      <c r="I329" s="18" t="n">
        <v>0</v>
      </c>
    </row>
    <row r="330" customFormat="false" ht="12.75" hidden="false" customHeight="false" outlineLevel="0" collapsed="false">
      <c r="A330" s="18" t="n">
        <f aca="false">B330-0.5</f>
        <v>6.5</v>
      </c>
      <c r="B330" s="18" t="n">
        <f aca="false">B329+0.25</f>
        <v>7</v>
      </c>
      <c r="C330" s="18" t="n">
        <v>15.4</v>
      </c>
      <c r="D330" s="18" t="n">
        <v>-60.6</v>
      </c>
      <c r="E330" s="18" t="n">
        <v>80</v>
      </c>
      <c r="F330" s="18" t="n">
        <f aca="false">E330*0.5144</f>
        <v>41.152</v>
      </c>
      <c r="G330" s="22" t="e">
        <f aca="false">arclethnm(C329,D329,C330,D330)/6</f>
        <v>#NAME?</v>
      </c>
      <c r="H330" s="22" t="e">
        <f aca="false">G330*0.5144</f>
        <v>#NAME?</v>
      </c>
      <c r="I330" s="18" t="n">
        <v>0</v>
      </c>
    </row>
    <row r="331" customFormat="false" ht="12.75" hidden="false" customHeight="false" outlineLevel="0" collapsed="false">
      <c r="A331" s="18" t="n">
        <f aca="false">B331-0.5</f>
        <v>6.75</v>
      </c>
      <c r="B331" s="18" t="n">
        <f aca="false">B330+0.25</f>
        <v>7.25</v>
      </c>
      <c r="C331" s="18" t="n">
        <v>15.5</v>
      </c>
      <c r="D331" s="18" t="n">
        <v>-61.5</v>
      </c>
      <c r="E331" s="18" t="n">
        <v>80</v>
      </c>
      <c r="F331" s="18" t="n">
        <f aca="false">E331*0.5144</f>
        <v>41.152</v>
      </c>
      <c r="G331" s="22" t="e">
        <f aca="false">arclethnm(C330,D330,C331,D331)/6</f>
        <v>#NAME?</v>
      </c>
      <c r="H331" s="22" t="e">
        <f aca="false">G331*0.5144</f>
        <v>#NAME?</v>
      </c>
      <c r="I331" s="18" t="n">
        <v>0</v>
      </c>
    </row>
    <row r="332" customFormat="false" ht="12.75" hidden="false" customHeight="false" outlineLevel="0" collapsed="false">
      <c r="A332" s="18" t="n">
        <f aca="false">B332-0.5</f>
        <v>7</v>
      </c>
      <c r="B332" s="18" t="n">
        <f aca="false">B331+0.25</f>
        <v>7.5</v>
      </c>
      <c r="C332" s="18" t="n">
        <v>15.7</v>
      </c>
      <c r="D332" s="18" t="n">
        <v>-62.7</v>
      </c>
      <c r="E332" s="18" t="n">
        <v>85</v>
      </c>
      <c r="F332" s="18" t="n">
        <f aca="false">E332*0.5144</f>
        <v>43.724</v>
      </c>
      <c r="G332" s="22" t="e">
        <f aca="false">arclethnm(C331,D331,C332,D332)/6</f>
        <v>#NAME?</v>
      </c>
      <c r="H332" s="22" t="e">
        <f aca="false">G332*0.5144</f>
        <v>#NAME?</v>
      </c>
      <c r="I332" s="18" t="n">
        <v>0</v>
      </c>
    </row>
    <row r="333" customFormat="false" ht="12.75" hidden="false" customHeight="false" outlineLevel="0" collapsed="false">
      <c r="A333" s="18" t="n">
        <f aca="false">B333-0.5</f>
        <v>7.25</v>
      </c>
      <c r="B333" s="18" t="n">
        <f aca="false">B332+0.25</f>
        <v>7.75</v>
      </c>
      <c r="C333" s="18" t="n">
        <v>16</v>
      </c>
      <c r="D333" s="18" t="n">
        <v>-64.4</v>
      </c>
      <c r="E333" s="18" t="n">
        <v>85</v>
      </c>
      <c r="F333" s="18" t="n">
        <f aca="false">E333*0.5144</f>
        <v>43.724</v>
      </c>
      <c r="G333" s="22" t="e">
        <f aca="false">arclethnm(C332,D332,C333,D333)/6</f>
        <v>#NAME?</v>
      </c>
      <c r="H333" s="22" t="e">
        <f aca="false">G333*0.5144</f>
        <v>#NAME?</v>
      </c>
      <c r="I333" s="18" t="n">
        <v>0</v>
      </c>
    </row>
    <row r="334" customFormat="false" ht="12.75" hidden="false" customHeight="false" outlineLevel="0" collapsed="false">
      <c r="A334" s="18" t="n">
        <f aca="false">B334-0.5</f>
        <v>7.5</v>
      </c>
      <c r="B334" s="18" t="n">
        <f aca="false">B333+0.25</f>
        <v>8</v>
      </c>
      <c r="C334" s="18" t="n">
        <v>16.3</v>
      </c>
      <c r="D334" s="18" t="n">
        <v>-66.4</v>
      </c>
      <c r="E334" s="18" t="n">
        <v>85</v>
      </c>
      <c r="F334" s="18" t="n">
        <f aca="false">E334*0.5144</f>
        <v>43.724</v>
      </c>
      <c r="G334" s="22" t="e">
        <f aca="false">arclethnm(C333,D333,C334,D334)/6</f>
        <v>#NAME?</v>
      </c>
      <c r="H334" s="22" t="e">
        <f aca="false">G334*0.5144</f>
        <v>#NAME?</v>
      </c>
      <c r="I334" s="18" t="n">
        <v>0</v>
      </c>
    </row>
    <row r="335" customFormat="false" ht="12.75" hidden="false" customHeight="false" outlineLevel="0" collapsed="false">
      <c r="A335" s="18" t="n">
        <f aca="false">B335-0.5</f>
        <v>7.75</v>
      </c>
      <c r="B335" s="18" t="n">
        <f aca="false">B334+0.25</f>
        <v>8.25</v>
      </c>
      <c r="C335" s="18" t="n">
        <v>16.6</v>
      </c>
      <c r="D335" s="18" t="n">
        <v>-68.4</v>
      </c>
      <c r="E335" s="18" t="n">
        <v>90</v>
      </c>
      <c r="F335" s="18" t="n">
        <f aca="false">E335*0.5144</f>
        <v>46.296</v>
      </c>
      <c r="G335" s="22" t="e">
        <f aca="false">arclethnm(C334,D334,C335,D335)/6</f>
        <v>#NAME?</v>
      </c>
      <c r="H335" s="22" t="e">
        <f aca="false">G335*0.5144</f>
        <v>#NAME?</v>
      </c>
      <c r="I335" s="18" t="n">
        <v>0</v>
      </c>
    </row>
    <row r="336" customFormat="false" ht="12.75" hidden="false" customHeight="false" outlineLevel="0" collapsed="false">
      <c r="A336" s="18" t="n">
        <f aca="false">B336-0.5</f>
        <v>8</v>
      </c>
      <c r="B336" s="18" t="n">
        <f aca="false">B335+0.25</f>
        <v>8.5</v>
      </c>
      <c r="C336" s="18" t="n">
        <v>17</v>
      </c>
      <c r="D336" s="18" t="n">
        <v>-70.4</v>
      </c>
      <c r="E336" s="18" t="n">
        <v>90</v>
      </c>
      <c r="F336" s="18" t="n">
        <f aca="false">E336*0.5144</f>
        <v>46.296</v>
      </c>
      <c r="G336" s="22" t="e">
        <f aca="false">arclethnm(C335,D335,C336,D336)/6</f>
        <v>#NAME?</v>
      </c>
      <c r="H336" s="22" t="e">
        <f aca="false">G336*0.5144</f>
        <v>#NAME?</v>
      </c>
      <c r="I336" s="18" t="n">
        <v>0</v>
      </c>
    </row>
    <row r="337" customFormat="false" ht="12.75" hidden="false" customHeight="false" outlineLevel="0" collapsed="false">
      <c r="A337" s="18" t="n">
        <f aca="false">B337-0.5</f>
        <v>8.25</v>
      </c>
      <c r="B337" s="18" t="n">
        <f aca="false">B336+0.25</f>
        <v>8.75</v>
      </c>
      <c r="C337" s="18" t="n">
        <v>17.4</v>
      </c>
      <c r="D337" s="18" t="n">
        <v>-72.4</v>
      </c>
      <c r="E337" s="18" t="n">
        <v>90</v>
      </c>
      <c r="F337" s="18" t="n">
        <f aca="false">E337*0.5144</f>
        <v>46.296</v>
      </c>
      <c r="G337" s="22" t="e">
        <f aca="false">arclethnm(C336,D336,C337,D337)/6</f>
        <v>#NAME?</v>
      </c>
      <c r="H337" s="22" t="e">
        <f aca="false">G337*0.5144</f>
        <v>#NAME?</v>
      </c>
      <c r="I337" s="18" t="n">
        <v>0</v>
      </c>
    </row>
    <row r="338" customFormat="false" ht="12.75" hidden="false" customHeight="false" outlineLevel="0" collapsed="false">
      <c r="A338" s="18" t="n">
        <f aca="false">B338-0.5</f>
        <v>8.5</v>
      </c>
      <c r="B338" s="18" t="n">
        <f aca="false">B337+0.25</f>
        <v>9</v>
      </c>
      <c r="C338" s="18" t="n">
        <v>17.8</v>
      </c>
      <c r="D338" s="18" t="n">
        <v>-74.4</v>
      </c>
      <c r="E338" s="18" t="n">
        <v>95</v>
      </c>
      <c r="F338" s="18" t="n">
        <f aca="false">E338*0.5144</f>
        <v>48.868</v>
      </c>
      <c r="G338" s="22" t="e">
        <f aca="false">arclethnm(C337,D337,C338,D338)/6</f>
        <v>#NAME?</v>
      </c>
      <c r="H338" s="22" t="e">
        <f aca="false">G338*0.5144</f>
        <v>#NAME?</v>
      </c>
      <c r="I338" s="18" t="n">
        <v>0</v>
      </c>
    </row>
    <row r="339" customFormat="false" ht="12.75" hidden="false" customHeight="false" outlineLevel="0" collapsed="false">
      <c r="A339" s="18" t="n">
        <f aca="false">B339-0.5</f>
        <v>8.75</v>
      </c>
      <c r="B339" s="18" t="n">
        <f aca="false">B338+0.25</f>
        <v>9.25</v>
      </c>
      <c r="C339" s="18" t="n">
        <v>18.3</v>
      </c>
      <c r="D339" s="18" t="n">
        <v>-76.4</v>
      </c>
      <c r="E339" s="18" t="n">
        <v>95</v>
      </c>
      <c r="F339" s="18" t="n">
        <f aca="false">E339*0.5144</f>
        <v>48.868</v>
      </c>
      <c r="G339" s="22" t="e">
        <f aca="false">arclethnm(C338,D338,C339,D339)/6</f>
        <v>#NAME?</v>
      </c>
      <c r="H339" s="22" t="e">
        <f aca="false">G339*0.5144</f>
        <v>#NAME?</v>
      </c>
      <c r="I339" s="18" t="n">
        <v>0</v>
      </c>
    </row>
    <row r="340" customFormat="false" ht="12.75" hidden="false" customHeight="false" outlineLevel="0" collapsed="false">
      <c r="A340" s="18" t="n">
        <f aca="false">B340-0.5</f>
        <v>9</v>
      </c>
      <c r="B340" s="18" t="n">
        <f aca="false">B339+0.25</f>
        <v>9.5</v>
      </c>
      <c r="C340" s="18" t="n">
        <v>18.8</v>
      </c>
      <c r="D340" s="18" t="n">
        <v>-78.2</v>
      </c>
      <c r="E340" s="18" t="n">
        <v>100</v>
      </c>
      <c r="F340" s="18" t="n">
        <f aca="false">E340*0.5144</f>
        <v>51.44</v>
      </c>
      <c r="G340" s="22" t="e">
        <f aca="false">arclethnm(C339,D339,C340,D340)/6</f>
        <v>#NAME?</v>
      </c>
      <c r="H340" s="22" t="e">
        <f aca="false">G340*0.5144</f>
        <v>#NAME?</v>
      </c>
      <c r="I340" s="18" t="n">
        <v>0</v>
      </c>
    </row>
    <row r="341" customFormat="false" ht="12.75" hidden="false" customHeight="false" outlineLevel="0" collapsed="false">
      <c r="A341" s="18" t="n">
        <f aca="false">B341-0.5</f>
        <v>9.25</v>
      </c>
      <c r="B341" s="18" t="n">
        <f aca="false">B340+0.25</f>
        <v>9.75</v>
      </c>
      <c r="C341" s="18" t="n">
        <v>19.3</v>
      </c>
      <c r="D341" s="18" t="n">
        <v>-79.4</v>
      </c>
      <c r="E341" s="18" t="n">
        <v>100</v>
      </c>
      <c r="F341" s="18" t="n">
        <f aca="false">E341*0.5144</f>
        <v>51.44</v>
      </c>
      <c r="G341" s="22" t="e">
        <f aca="false">arclethnm(C340,D340,C341,D341)/6</f>
        <v>#NAME?</v>
      </c>
      <c r="H341" s="22" t="e">
        <f aca="false">G341*0.5144</f>
        <v>#NAME?</v>
      </c>
      <c r="I341" s="18" t="n">
        <v>0</v>
      </c>
    </row>
    <row r="342" customFormat="false" ht="12.75" hidden="false" customHeight="false" outlineLevel="0" collapsed="false">
      <c r="A342" s="18" t="n">
        <f aca="false">B342-0.5</f>
        <v>9.5</v>
      </c>
      <c r="B342" s="18" t="n">
        <f aca="false">B341+0.25</f>
        <v>10</v>
      </c>
      <c r="C342" s="18" t="n">
        <v>19.8</v>
      </c>
      <c r="D342" s="18" t="n">
        <v>-80.6</v>
      </c>
      <c r="E342" s="18" t="n">
        <v>105</v>
      </c>
      <c r="F342" s="18" t="n">
        <f aca="false">E342*0.5144</f>
        <v>54.012</v>
      </c>
      <c r="G342" s="22" t="e">
        <f aca="false">arclethnm(C341,D341,C342,D342)/6</f>
        <v>#NAME?</v>
      </c>
      <c r="H342" s="22" t="e">
        <f aca="false">G342*0.5144</f>
        <v>#NAME?</v>
      </c>
      <c r="I342" s="18" t="n">
        <v>0</v>
      </c>
    </row>
    <row r="343" customFormat="false" ht="12.75" hidden="false" customHeight="false" outlineLevel="0" collapsed="false">
      <c r="A343" s="18" t="n">
        <f aca="false">B343-0.5</f>
        <v>9.75</v>
      </c>
      <c r="B343" s="18" t="n">
        <f aca="false">B342+0.25</f>
        <v>10.25</v>
      </c>
      <c r="C343" s="18" t="n">
        <v>20.4</v>
      </c>
      <c r="D343" s="18" t="n">
        <v>-82.1</v>
      </c>
      <c r="E343" s="18" t="n">
        <v>115</v>
      </c>
      <c r="F343" s="18" t="n">
        <f aca="false">E343*0.5144</f>
        <v>59.156</v>
      </c>
      <c r="G343" s="22" t="e">
        <f aca="false">arclethnm(C342,D342,C343,D343)/6</f>
        <v>#NAME?</v>
      </c>
      <c r="H343" s="22" t="e">
        <f aca="false">G343*0.5144</f>
        <v>#NAME?</v>
      </c>
      <c r="I343" s="18" t="n">
        <v>0</v>
      </c>
    </row>
    <row r="344" customFormat="false" ht="12.75" hidden="false" customHeight="false" outlineLevel="0" collapsed="false">
      <c r="A344" s="18" t="n">
        <f aca="false">B344-0.5</f>
        <v>10</v>
      </c>
      <c r="B344" s="18" t="n">
        <f aca="false">B343+0.25</f>
        <v>10.5</v>
      </c>
      <c r="C344" s="18" t="n">
        <v>21</v>
      </c>
      <c r="D344" s="18" t="n">
        <v>-83.4</v>
      </c>
      <c r="E344" s="18" t="n">
        <v>125</v>
      </c>
      <c r="F344" s="18" t="n">
        <f aca="false">E344*0.5144</f>
        <v>64.3</v>
      </c>
      <c r="G344" s="22" t="e">
        <f aca="false">arclethnm(C343,D343,C344,D344)/6</f>
        <v>#NAME?</v>
      </c>
      <c r="H344" s="22" t="e">
        <f aca="false">G344*0.5144</f>
        <v>#NAME?</v>
      </c>
      <c r="I344" s="18" t="n">
        <v>0</v>
      </c>
    </row>
    <row r="345" customFormat="false" ht="12.75" hidden="false" customHeight="false" outlineLevel="0" collapsed="false">
      <c r="A345" s="18" t="n">
        <f aca="false">B345-0.5</f>
        <v>10.25</v>
      </c>
      <c r="B345" s="18" t="n">
        <f aca="false">B344+0.25</f>
        <v>10.75</v>
      </c>
      <c r="C345" s="18" t="n">
        <v>21.7</v>
      </c>
      <c r="D345" s="18" t="n">
        <v>-84.7</v>
      </c>
      <c r="E345" s="18" t="n">
        <v>125</v>
      </c>
      <c r="F345" s="18" t="n">
        <f aca="false">E345*0.5144</f>
        <v>64.3</v>
      </c>
      <c r="G345" s="22" t="e">
        <f aca="false">arclethnm(C344,D344,C345,D345)/6</f>
        <v>#NAME?</v>
      </c>
      <c r="H345" s="22" t="e">
        <f aca="false">G345*0.5144</f>
        <v>#NAME?</v>
      </c>
      <c r="I345" s="18" t="n">
        <v>0</v>
      </c>
    </row>
    <row r="346" customFormat="false" ht="12.75" hidden="false" customHeight="false" outlineLevel="0" collapsed="false">
      <c r="A346" s="18" t="n">
        <f aca="false">B346-0.5</f>
        <v>10.5</v>
      </c>
      <c r="B346" s="18" t="n">
        <f aca="false">B345+0.25</f>
        <v>11</v>
      </c>
      <c r="C346" s="18" t="n">
        <v>22.3</v>
      </c>
      <c r="D346" s="18" t="n">
        <v>-85.8</v>
      </c>
      <c r="E346" s="18" t="n">
        <v>125</v>
      </c>
      <c r="F346" s="18" t="n">
        <f aca="false">E346*0.5144</f>
        <v>64.3</v>
      </c>
      <c r="G346" s="22" t="e">
        <f aca="false">arclethnm(C345,D345,C346,D346)/6</f>
        <v>#NAME?</v>
      </c>
      <c r="H346" s="22" t="e">
        <f aca="false">G346*0.5144</f>
        <v>#NAME?</v>
      </c>
      <c r="I346" s="18" t="n">
        <v>0</v>
      </c>
    </row>
    <row r="347" customFormat="false" ht="12.75" hidden="false" customHeight="false" outlineLevel="0" collapsed="false">
      <c r="A347" s="18" t="n">
        <f aca="false">B347-0.5</f>
        <v>10.75</v>
      </c>
      <c r="B347" s="18" t="n">
        <f aca="false">B346+0.25</f>
        <v>11.25</v>
      </c>
      <c r="C347" s="18" t="n">
        <v>22.9</v>
      </c>
      <c r="D347" s="18" t="n">
        <v>-86.6</v>
      </c>
      <c r="E347" s="18" t="n">
        <v>125</v>
      </c>
      <c r="F347" s="18" t="n">
        <f aca="false">E347*0.5144</f>
        <v>64.3</v>
      </c>
      <c r="G347" s="22" t="e">
        <f aca="false">arclethnm(C346,D346,C347,D347)/6</f>
        <v>#NAME?</v>
      </c>
      <c r="H347" s="22" t="e">
        <f aca="false">G347*0.5144</f>
        <v>#NAME?</v>
      </c>
      <c r="I347" s="18" t="n">
        <v>0</v>
      </c>
    </row>
    <row r="348" customFormat="false" ht="12.75" hidden="false" customHeight="false" outlineLevel="0" collapsed="false">
      <c r="A348" s="18" t="n">
        <f aca="false">B348-0.5</f>
        <v>11</v>
      </c>
      <c r="B348" s="18" t="n">
        <f aca="false">B347+0.25</f>
        <v>11.5</v>
      </c>
      <c r="C348" s="18" t="n">
        <v>23.5</v>
      </c>
      <c r="D348" s="18" t="n">
        <v>-87.5</v>
      </c>
      <c r="E348" s="18" t="n">
        <v>120</v>
      </c>
      <c r="F348" s="18" t="n">
        <f aca="false">E348*0.5144</f>
        <v>61.728</v>
      </c>
      <c r="G348" s="22" t="e">
        <f aca="false">arclethnm(C347,D347,C348,D348)/6</f>
        <v>#NAME?</v>
      </c>
      <c r="H348" s="22" t="e">
        <f aca="false">G348*0.5144</f>
        <v>#NAME?</v>
      </c>
      <c r="I348" s="18" t="n">
        <v>0</v>
      </c>
    </row>
    <row r="349" customFormat="false" ht="12.75" hidden="false" customHeight="false" outlineLevel="0" collapsed="false">
      <c r="A349" s="18" t="n">
        <f aca="false">B349-0.5</f>
        <v>11.25</v>
      </c>
      <c r="B349" s="18" t="n">
        <f aca="false">B348+0.25</f>
        <v>11.75</v>
      </c>
      <c r="C349" s="18" t="n">
        <v>24.1</v>
      </c>
      <c r="D349" s="18" t="n">
        <v>-88.4</v>
      </c>
      <c r="E349" s="18" t="n">
        <v>120</v>
      </c>
      <c r="F349" s="18" t="n">
        <f aca="false">E349*0.5144</f>
        <v>61.728</v>
      </c>
      <c r="G349" s="22" t="e">
        <f aca="false">arclethnm(C348,D348,C349,D349)/6</f>
        <v>#NAME?</v>
      </c>
      <c r="H349" s="22" t="e">
        <f aca="false">G349*0.5144</f>
        <v>#NAME?</v>
      </c>
      <c r="I349" s="18" t="n">
        <v>0</v>
      </c>
    </row>
    <row r="350" customFormat="false" ht="12.75" hidden="false" customHeight="false" outlineLevel="0" collapsed="false">
      <c r="A350" s="18" t="n">
        <f aca="false">B350-0.5</f>
        <v>11.5</v>
      </c>
      <c r="B350" s="18" t="n">
        <f aca="false">B349+0.25</f>
        <v>12</v>
      </c>
      <c r="C350" s="18" t="n">
        <v>24.7</v>
      </c>
      <c r="D350" s="18" t="n">
        <v>-89.2</v>
      </c>
      <c r="E350" s="18" t="n">
        <v>115</v>
      </c>
      <c r="F350" s="18" t="n">
        <f aca="false">E350*0.5144</f>
        <v>59.156</v>
      </c>
      <c r="G350" s="22" t="e">
        <f aca="false">arclethnm(C349,D349,C350,D350)/6</f>
        <v>#NAME?</v>
      </c>
      <c r="H350" s="22" t="e">
        <f aca="false">G350*0.5144</f>
        <v>#NAME?</v>
      </c>
      <c r="I350" s="18" t="n">
        <v>0</v>
      </c>
    </row>
    <row r="351" customFormat="false" ht="12.75" hidden="false" customHeight="false" outlineLevel="0" collapsed="false">
      <c r="A351" s="18" t="n">
        <f aca="false">B351-0.5</f>
        <v>11.75</v>
      </c>
      <c r="B351" s="18" t="n">
        <f aca="false">B350+0.25</f>
        <v>12.25</v>
      </c>
      <c r="C351" s="18" t="n">
        <v>25.4</v>
      </c>
      <c r="D351" s="18" t="n">
        <v>-90.1</v>
      </c>
      <c r="E351" s="18" t="n">
        <v>115</v>
      </c>
      <c r="F351" s="18" t="n">
        <f aca="false">E351*0.5144</f>
        <v>59.156</v>
      </c>
      <c r="G351" s="22" t="e">
        <f aca="false">arclethnm(C350,D350,C351,D351)/6</f>
        <v>#NAME?</v>
      </c>
      <c r="H351" s="22" t="e">
        <f aca="false">G351*0.5144</f>
        <v>#NAME?</v>
      </c>
      <c r="I351" s="18" t="n">
        <v>0</v>
      </c>
    </row>
    <row r="352" customFormat="false" ht="12.75" hidden="false" customHeight="false" outlineLevel="0" collapsed="false">
      <c r="A352" s="18" t="n">
        <f aca="false">B352-0.5</f>
        <v>12</v>
      </c>
      <c r="B352" s="18" t="n">
        <f aca="false">B351+0.25</f>
        <v>12.5</v>
      </c>
      <c r="C352" s="18" t="n">
        <v>26.2</v>
      </c>
      <c r="D352" s="18" t="n">
        <v>-91.1</v>
      </c>
      <c r="E352" s="18" t="n">
        <v>115</v>
      </c>
      <c r="F352" s="18" t="n">
        <f aca="false">E352*0.5144</f>
        <v>59.156</v>
      </c>
      <c r="G352" s="22" t="e">
        <f aca="false">arclethnm(C351,D351,C352,D352)/6</f>
        <v>#NAME?</v>
      </c>
      <c r="H352" s="22" t="e">
        <f aca="false">G352*0.5144</f>
        <v>#NAME?</v>
      </c>
      <c r="I352" s="18" t="n">
        <v>0</v>
      </c>
    </row>
    <row r="353" customFormat="false" ht="12.75" hidden="false" customHeight="false" outlineLevel="0" collapsed="false">
      <c r="A353" s="18" t="n">
        <f aca="false">B353-0.5</f>
        <v>12.25</v>
      </c>
      <c r="B353" s="18" t="n">
        <f aca="false">B352+0.25</f>
        <v>12.75</v>
      </c>
      <c r="C353" s="18" t="n">
        <v>27.1</v>
      </c>
      <c r="D353" s="18" t="n">
        <v>-92.4</v>
      </c>
      <c r="E353" s="18" t="n">
        <v>115</v>
      </c>
      <c r="F353" s="18" t="n">
        <f aca="false">E353*0.5144</f>
        <v>59.156</v>
      </c>
      <c r="G353" s="22" t="e">
        <f aca="false">arclethnm(C352,D352,C353,D353)/6</f>
        <v>#NAME?</v>
      </c>
      <c r="H353" s="22" t="e">
        <f aca="false">G353*0.5144</f>
        <v>#NAME?</v>
      </c>
      <c r="I353" s="18" t="n">
        <v>0</v>
      </c>
    </row>
    <row r="354" customFormat="false" ht="12.75" hidden="false" customHeight="false" outlineLevel="0" collapsed="false">
      <c r="A354" s="18" t="n">
        <f aca="false">B354-0.5</f>
        <v>12.5</v>
      </c>
      <c r="B354" s="18" t="n">
        <f aca="false">B353+0.25</f>
        <v>13</v>
      </c>
      <c r="C354" s="18" t="n">
        <v>28</v>
      </c>
      <c r="D354" s="18" t="n">
        <v>-93.7</v>
      </c>
      <c r="E354" s="18" t="n">
        <v>115</v>
      </c>
      <c r="F354" s="18" t="n">
        <f aca="false">E354*0.5144</f>
        <v>59.156</v>
      </c>
      <c r="G354" s="22" t="e">
        <f aca="false">arclethnm(C353,D353,C354,D354)/6</f>
        <v>#NAME?</v>
      </c>
      <c r="H354" s="22" t="e">
        <f aca="false">G354*0.5144</f>
        <v>#NAME?</v>
      </c>
      <c r="I354" s="18" t="n">
        <v>0</v>
      </c>
    </row>
    <row r="355" customFormat="false" ht="12.75" hidden="false" customHeight="false" outlineLevel="0" collapsed="false">
      <c r="A355" s="18" t="n">
        <f aca="false">B355-0.5</f>
        <v>12.75</v>
      </c>
      <c r="B355" s="18" t="n">
        <f aca="false">B354+0.25</f>
        <v>13.25</v>
      </c>
      <c r="C355" s="18" t="n">
        <v>28.9</v>
      </c>
      <c r="D355" s="18" t="n">
        <v>-95</v>
      </c>
      <c r="E355" s="18" t="n">
        <v>115</v>
      </c>
      <c r="F355" s="18" t="n">
        <f aca="false">E355*0.5144</f>
        <v>59.156</v>
      </c>
      <c r="G355" s="22" t="e">
        <f aca="false">arclethnm(C354,D354,C355,D355)/6</f>
        <v>#NAME?</v>
      </c>
      <c r="H355" s="22" t="e">
        <f aca="false">G355*0.5144</f>
        <v>#NAME?</v>
      </c>
      <c r="I355" s="18" t="n">
        <v>940</v>
      </c>
    </row>
    <row r="356" customFormat="false" ht="12.75" hidden="false" customHeight="false" outlineLevel="0" collapsed="false">
      <c r="A356" s="18" t="n">
        <f aca="false">B356-0.5</f>
        <v>13</v>
      </c>
      <c r="B356" s="18" t="n">
        <f aca="false">B355+0.25</f>
        <v>13.5</v>
      </c>
      <c r="C356" s="18" t="n">
        <v>29.2</v>
      </c>
      <c r="D356" s="18" t="n">
        <v>-95.1</v>
      </c>
      <c r="E356" s="18" t="n">
        <v>115</v>
      </c>
      <c r="F356" s="18" t="n">
        <f aca="false">E356*0.5144</f>
        <v>59.156</v>
      </c>
      <c r="G356" s="22" t="e">
        <f aca="false">arclethnm(C355,D355,C356,D356)/6</f>
        <v>#NAME?</v>
      </c>
      <c r="H356" s="22" t="e">
        <f aca="false">G356*0.5144</f>
        <v>#NAME?</v>
      </c>
      <c r="I356" s="18" t="n">
        <v>940</v>
      </c>
    </row>
    <row r="357" customFormat="false" ht="12.75" hidden="false" customHeight="false" outlineLevel="0" collapsed="false">
      <c r="A357" s="18" t="n">
        <f aca="false">B357-0.5</f>
        <v>13.25</v>
      </c>
      <c r="B357" s="18" t="n">
        <f aca="false">B356+0.25</f>
        <v>13.75</v>
      </c>
      <c r="C357" s="18" t="n">
        <v>29.6</v>
      </c>
      <c r="D357" s="18" t="n">
        <v>-95.9</v>
      </c>
      <c r="E357" s="18" t="n">
        <v>75</v>
      </c>
      <c r="F357" s="18" t="n">
        <f aca="false">E357*0.5144</f>
        <v>38.58</v>
      </c>
      <c r="G357" s="22" t="e">
        <f aca="false">arclethnm(C356,D356,C357,D357)/6</f>
        <v>#NAME?</v>
      </c>
      <c r="H357" s="22" t="e">
        <f aca="false">G357*0.5144</f>
        <v>#NAME?</v>
      </c>
      <c r="I357" s="18" t="n">
        <v>0</v>
      </c>
    </row>
    <row r="358" customFormat="false" ht="12.75" hidden="false" customHeight="false" outlineLevel="0" collapsed="false">
      <c r="A358" s="18" t="n">
        <f aca="false">B358-0.5</f>
        <v>13.5</v>
      </c>
      <c r="B358" s="18" t="n">
        <f aca="false">B357+0.25</f>
        <v>14</v>
      </c>
      <c r="C358" s="18" t="n">
        <v>30.2</v>
      </c>
      <c r="D358" s="18" t="n">
        <v>-96.5</v>
      </c>
      <c r="E358" s="18" t="n">
        <v>50</v>
      </c>
      <c r="F358" s="18" t="n">
        <f aca="false">E358*0.5144</f>
        <v>25.72</v>
      </c>
      <c r="G358" s="22" t="e">
        <f aca="false">arclethnm(C357,D357,C358,D358)/6</f>
        <v>#NAME?</v>
      </c>
      <c r="H358" s="22" t="e">
        <f aca="false">G358*0.5144</f>
        <v>#NAME?</v>
      </c>
      <c r="I358" s="18" t="n">
        <v>0</v>
      </c>
    </row>
    <row r="359" customFormat="false" ht="12.75" hidden="false" customHeight="false" outlineLevel="0" collapsed="false">
      <c r="A359" s="18" t="n">
        <f aca="false">B359-0.5</f>
        <v>13.75</v>
      </c>
      <c r="B359" s="18" t="n">
        <f aca="false">B358+0.25</f>
        <v>14.25</v>
      </c>
      <c r="C359" s="18" t="n">
        <v>30.6</v>
      </c>
      <c r="D359" s="18" t="n">
        <v>-96.7</v>
      </c>
      <c r="E359" s="18" t="n">
        <v>40</v>
      </c>
      <c r="F359" s="18" t="n">
        <f aca="false">E359*0.5144</f>
        <v>20.576</v>
      </c>
      <c r="G359" s="22" t="e">
        <f aca="false">arclethnm(C358,D358,C359,D359)/6</f>
        <v>#NAME?</v>
      </c>
      <c r="H359" s="22" t="e">
        <f aca="false">G359*0.5144</f>
        <v>#NAME?</v>
      </c>
      <c r="I359" s="18" t="n">
        <v>0</v>
      </c>
    </row>
    <row r="360" customFormat="false" ht="12.75" hidden="false" customHeight="false" outlineLevel="0" collapsed="false">
      <c r="A360" s="18" t="n">
        <f aca="false">B360-0.5</f>
        <v>14</v>
      </c>
      <c r="B360" s="18" t="n">
        <f aca="false">B359+0.25</f>
        <v>14.5</v>
      </c>
      <c r="C360" s="18" t="n">
        <v>31</v>
      </c>
      <c r="D360" s="18" t="n">
        <v>-96.6</v>
      </c>
      <c r="E360" s="18" t="n">
        <v>40</v>
      </c>
      <c r="F360" s="18" t="n">
        <f aca="false">E360*0.5144</f>
        <v>20.576</v>
      </c>
      <c r="G360" s="22" t="e">
        <f aca="false">arclethnm(C359,D359,C360,D360)/6</f>
        <v>#NAME?</v>
      </c>
      <c r="H360" s="22" t="e">
        <f aca="false">G360*0.5144</f>
        <v>#NAME?</v>
      </c>
      <c r="I360" s="18" t="n">
        <v>0</v>
      </c>
    </row>
    <row r="361" customFormat="false" ht="12.75" hidden="false" customHeight="false" outlineLevel="0" collapsed="false">
      <c r="A361" s="18" t="n">
        <f aca="false">B361-0.5</f>
        <v>14.25</v>
      </c>
      <c r="B361" s="18" t="n">
        <f aca="false">B360+0.25</f>
        <v>14.75</v>
      </c>
      <c r="C361" s="18" t="n">
        <v>31.3</v>
      </c>
      <c r="D361" s="18" t="n">
        <v>-96.4</v>
      </c>
      <c r="E361" s="18" t="n">
        <v>35</v>
      </c>
      <c r="F361" s="18" t="n">
        <f aca="false">E361*0.5144</f>
        <v>18.004</v>
      </c>
      <c r="G361" s="22" t="e">
        <f aca="false">arclethnm(C360,D360,C361,D361)/6</f>
        <v>#NAME?</v>
      </c>
      <c r="H361" s="22" t="e">
        <f aca="false">G361*0.5144</f>
        <v>#NAME?</v>
      </c>
      <c r="I361" s="18" t="n">
        <v>0</v>
      </c>
    </row>
    <row r="362" customFormat="false" ht="12.75" hidden="false" customHeight="false" outlineLevel="0" collapsed="false">
      <c r="A362" s="18" t="n">
        <f aca="false">B362-0.5</f>
        <v>14.5</v>
      </c>
      <c r="B362" s="18" t="n">
        <f aca="false">B361+0.25</f>
        <v>15</v>
      </c>
      <c r="C362" s="18" t="n">
        <v>31.7</v>
      </c>
      <c r="D362" s="18" t="n">
        <v>-96.1</v>
      </c>
      <c r="E362" s="18" t="n">
        <v>35</v>
      </c>
      <c r="F362" s="18" t="n">
        <f aca="false">E362*0.5144</f>
        <v>18.004</v>
      </c>
      <c r="G362" s="22" t="e">
        <f aca="false">arclethnm(C361,D361,C362,D362)/6</f>
        <v>#NAME?</v>
      </c>
      <c r="H362" s="22" t="e">
        <f aca="false">G362*0.5144</f>
        <v>#NAME?</v>
      </c>
      <c r="I362" s="18" t="n">
        <v>0</v>
      </c>
    </row>
    <row r="363" customFormat="false" ht="12.75" hidden="false" customHeight="false" outlineLevel="0" collapsed="false">
      <c r="A363" s="18" t="n">
        <f aca="false">B363-0.5</f>
        <v>14.75</v>
      </c>
      <c r="B363" s="18" t="n">
        <f aca="false">B362+0.25</f>
        <v>15.25</v>
      </c>
      <c r="C363" s="18" t="n">
        <v>32.3</v>
      </c>
      <c r="D363" s="18" t="n">
        <v>-95.8</v>
      </c>
      <c r="E363" s="18" t="n">
        <v>30</v>
      </c>
      <c r="F363" s="18" t="n">
        <f aca="false">E363*0.5144</f>
        <v>15.432</v>
      </c>
      <c r="G363" s="22" t="e">
        <f aca="false">arclethnm(C362,D362,C363,D363)/6</f>
        <v>#NAME?</v>
      </c>
      <c r="H363" s="22" t="e">
        <f aca="false">G363*0.5144</f>
        <v>#NAME?</v>
      </c>
      <c r="I363" s="18" t="n">
        <v>0</v>
      </c>
    </row>
    <row r="364" customFormat="false" ht="12.75" hidden="false" customHeight="false" outlineLevel="0" collapsed="false">
      <c r="A364" s="18" t="n">
        <f aca="false">B364-0.5</f>
        <v>15</v>
      </c>
      <c r="B364" s="18" t="n">
        <f aca="false">B363+0.25</f>
        <v>15.5</v>
      </c>
      <c r="C364" s="18" t="n">
        <v>32.9</v>
      </c>
      <c r="D364" s="18" t="n">
        <v>-95.3</v>
      </c>
      <c r="E364" s="18" t="n">
        <v>30</v>
      </c>
      <c r="F364" s="18" t="n">
        <f aca="false">E364*0.5144</f>
        <v>15.432</v>
      </c>
      <c r="G364" s="22" t="e">
        <f aca="false">arclethnm(C363,D363,C364,D364)/6</f>
        <v>#NAME?</v>
      </c>
      <c r="H364" s="22" t="e">
        <f aca="false">G364*0.5144</f>
        <v>#NAME?</v>
      </c>
      <c r="I364" s="18" t="n">
        <v>0</v>
      </c>
    </row>
    <row r="365" customFormat="false" ht="12.75" hidden="false" customHeight="false" outlineLevel="0" collapsed="false">
      <c r="A365" s="18" t="n">
        <f aca="false">B365-0.5</f>
        <v>15.25</v>
      </c>
      <c r="B365" s="18" t="n">
        <f aca="false">B364+0.25</f>
        <v>15.75</v>
      </c>
      <c r="C365" s="18" t="n">
        <v>33.6</v>
      </c>
      <c r="D365" s="18" t="n">
        <v>-94.6</v>
      </c>
      <c r="E365" s="18" t="n">
        <v>30</v>
      </c>
      <c r="F365" s="18" t="n">
        <f aca="false">E365*0.5144</f>
        <v>15.432</v>
      </c>
      <c r="G365" s="22" t="e">
        <f aca="false">arclethnm(C364,D364,C365,D365)/6</f>
        <v>#NAME?</v>
      </c>
      <c r="H365" s="22" t="e">
        <f aca="false">G365*0.5144</f>
        <v>#NAME?</v>
      </c>
      <c r="I365" s="18" t="n">
        <v>0</v>
      </c>
    </row>
    <row r="366" customFormat="false" ht="12.75" hidden="false" customHeight="false" outlineLevel="0" collapsed="false">
      <c r="A366" s="18" t="n">
        <f aca="false">B366-0.5</f>
        <v>15.5</v>
      </c>
      <c r="B366" s="18" t="n">
        <f aca="false">B365+0.25</f>
        <v>16</v>
      </c>
      <c r="C366" s="18" t="n">
        <v>34.3</v>
      </c>
      <c r="D366" s="18" t="n">
        <v>-93.5</v>
      </c>
      <c r="E366" s="18" t="n">
        <v>30</v>
      </c>
      <c r="F366" s="18" t="n">
        <f aca="false">E366*0.5144</f>
        <v>15.432</v>
      </c>
      <c r="G366" s="22" t="e">
        <f aca="false">arclethnm(C365,D365,C366,D366)/6</f>
        <v>#NAME?</v>
      </c>
      <c r="H366" s="22" t="e">
        <f aca="false">G366*0.5144</f>
        <v>#NAME?</v>
      </c>
      <c r="I366" s="18" t="n">
        <v>0</v>
      </c>
    </row>
    <row r="367" customFormat="false" ht="12.75" hidden="false" customHeight="false" outlineLevel="0" collapsed="false">
      <c r="A367" s="18" t="n">
        <f aca="false">B367-0.5</f>
        <v>15.75</v>
      </c>
      <c r="B367" s="18" t="n">
        <f aca="false">B366+0.25</f>
        <v>16.25</v>
      </c>
      <c r="C367" s="18" t="n">
        <v>35.2</v>
      </c>
      <c r="D367" s="18" t="n">
        <v>-92.4</v>
      </c>
      <c r="E367" s="18" t="n">
        <v>35</v>
      </c>
      <c r="F367" s="18" t="n">
        <f aca="false">E367*0.5144</f>
        <v>18.004</v>
      </c>
      <c r="G367" s="22" t="e">
        <f aca="false">arclethnm(C366,D366,C367,D367)/6</f>
        <v>#NAME?</v>
      </c>
      <c r="H367" s="22" t="e">
        <f aca="false">G367*0.5144</f>
        <v>#NAME?</v>
      </c>
      <c r="I367" s="18" t="n">
        <v>0</v>
      </c>
    </row>
    <row r="368" customFormat="false" ht="12.75" hidden="false" customHeight="false" outlineLevel="0" collapsed="false">
      <c r="A368" s="18" t="n">
        <f aca="false">B368-0.5</f>
        <v>16</v>
      </c>
      <c r="B368" s="18" t="n">
        <f aca="false">B367+0.25</f>
        <v>16.5</v>
      </c>
      <c r="C368" s="18" t="n">
        <v>36.2</v>
      </c>
      <c r="D368" s="18" t="n">
        <v>-91.2</v>
      </c>
      <c r="E368" s="18" t="n">
        <v>35</v>
      </c>
      <c r="F368" s="18" t="n">
        <f aca="false">E368*0.5144</f>
        <v>18.004</v>
      </c>
      <c r="G368" s="22" t="e">
        <f aca="false">arclethnm(C367,D367,C368,D368)/6</f>
        <v>#NAME?</v>
      </c>
      <c r="H368" s="22" t="e">
        <f aca="false">G368*0.5144</f>
        <v>#NAME?</v>
      </c>
      <c r="I368" s="18" t="n">
        <v>0</v>
      </c>
    </row>
    <row r="369" customFormat="false" ht="12.75" hidden="false" customHeight="false" outlineLevel="0" collapsed="false">
      <c r="A369" s="18" t="n">
        <f aca="false">B369-0.5</f>
        <v>16.25</v>
      </c>
      <c r="B369" s="18" t="n">
        <f aca="false">B368+0.25</f>
        <v>16.75</v>
      </c>
      <c r="C369" s="18" t="n">
        <v>37</v>
      </c>
      <c r="D369" s="18" t="n">
        <v>-90.1</v>
      </c>
      <c r="E369" s="18" t="n">
        <v>35</v>
      </c>
      <c r="F369" s="18" t="n">
        <f aca="false">E369*0.5144</f>
        <v>18.004</v>
      </c>
      <c r="G369" s="22" t="e">
        <f aca="false">arclethnm(C368,D368,C369,D369)/6</f>
        <v>#NAME?</v>
      </c>
      <c r="H369" s="22" t="e">
        <f aca="false">G369*0.5144</f>
        <v>#NAME?</v>
      </c>
      <c r="I369" s="18" t="n">
        <v>0</v>
      </c>
    </row>
    <row r="370" customFormat="false" ht="12.75" hidden="false" customHeight="false" outlineLevel="0" collapsed="false">
      <c r="A370" s="18" t="n">
        <f aca="false">B370-0.5</f>
        <v>16.5</v>
      </c>
      <c r="B370" s="18" t="n">
        <f aca="false">B369+0.25</f>
        <v>17</v>
      </c>
      <c r="C370" s="18" t="n">
        <v>37.7</v>
      </c>
      <c r="D370" s="18" t="n">
        <v>-89.1</v>
      </c>
      <c r="E370" s="18" t="n">
        <v>35</v>
      </c>
      <c r="F370" s="18" t="n">
        <f aca="false">E370*0.5144</f>
        <v>18.004</v>
      </c>
      <c r="G370" s="22" t="e">
        <f aca="false">arclethnm(C369,D369,C370,D370)/6</f>
        <v>#NAME?</v>
      </c>
      <c r="H370" s="22" t="e">
        <f aca="false">G370*0.5144</f>
        <v>#NAME?</v>
      </c>
      <c r="I370" s="18" t="n">
        <v>0</v>
      </c>
    </row>
    <row r="371" customFormat="false" ht="12.75" hidden="false" customHeight="false" outlineLevel="0" collapsed="false">
      <c r="A371" s="18" t="n">
        <f aca="false">B371-0.5</f>
        <v>16.75</v>
      </c>
      <c r="B371" s="18" t="n">
        <f aca="false">B370+0.25</f>
        <v>17.25</v>
      </c>
      <c r="C371" s="18" t="n">
        <v>38.2</v>
      </c>
      <c r="D371" s="18" t="n">
        <v>-88.1</v>
      </c>
      <c r="E371" s="18" t="n">
        <v>35</v>
      </c>
      <c r="F371" s="18" t="n">
        <f aca="false">E371*0.5144</f>
        <v>18.004</v>
      </c>
      <c r="G371" s="22" t="e">
        <f aca="false">arclethnm(C370,D370,C371,D371)/6</f>
        <v>#NAME?</v>
      </c>
      <c r="H371" s="22" t="e">
        <f aca="false">G371*0.5144</f>
        <v>#NAME?</v>
      </c>
      <c r="I371" s="18" t="n">
        <v>0</v>
      </c>
    </row>
    <row r="372" customFormat="false" ht="12.75" hidden="false" customHeight="false" outlineLevel="0" collapsed="false">
      <c r="A372" s="18" t="n">
        <f aca="false">B372-0.5</f>
        <v>17</v>
      </c>
      <c r="B372" s="18" t="n">
        <f aca="false">B371+0.25</f>
        <v>17.5</v>
      </c>
      <c r="C372" s="18" t="n">
        <v>38.8</v>
      </c>
      <c r="D372" s="18" t="n">
        <v>-87.1</v>
      </c>
      <c r="E372" s="18" t="n">
        <v>35</v>
      </c>
      <c r="F372" s="18" t="n">
        <f aca="false">E372*0.5144</f>
        <v>18.004</v>
      </c>
      <c r="G372" s="22" t="e">
        <f aca="false">arclethnm(C371,D371,C372,D372)/6</f>
        <v>#NAME?</v>
      </c>
      <c r="H372" s="22" t="e">
        <f aca="false">G372*0.5144</f>
        <v>#NAME?</v>
      </c>
      <c r="I372" s="18" t="n">
        <v>0</v>
      </c>
    </row>
    <row r="373" customFormat="false" ht="12.75" hidden="false" customHeight="false" outlineLevel="0" collapsed="false">
      <c r="A373" s="18" t="n">
        <f aca="false">B373-0.5</f>
        <v>17.25</v>
      </c>
      <c r="B373" s="18" t="n">
        <f aca="false">B372+0.25</f>
        <v>17.75</v>
      </c>
      <c r="C373" s="18" t="n">
        <v>39.5</v>
      </c>
      <c r="D373" s="18" t="n">
        <v>-86</v>
      </c>
      <c r="E373" s="18" t="n">
        <v>35</v>
      </c>
      <c r="F373" s="18" t="n">
        <f aca="false">E373*0.5144</f>
        <v>18.004</v>
      </c>
      <c r="G373" s="22" t="e">
        <f aca="false">arclethnm(C372,D372,C373,D373)/6</f>
        <v>#NAME?</v>
      </c>
      <c r="H373" s="22" t="e">
        <f aca="false">G373*0.5144</f>
        <v>#NAME?</v>
      </c>
      <c r="I373" s="18" t="n">
        <v>0</v>
      </c>
    </row>
    <row r="374" customFormat="false" ht="12.75" hidden="false" customHeight="false" outlineLevel="0" collapsed="false">
      <c r="A374" s="18" t="n">
        <f aca="false">B374-0.5</f>
        <v>17.5</v>
      </c>
      <c r="B374" s="18" t="n">
        <f aca="false">B373+0.25</f>
        <v>18</v>
      </c>
      <c r="C374" s="18" t="n">
        <v>40.4</v>
      </c>
      <c r="D374" s="18" t="n">
        <v>-84.5</v>
      </c>
      <c r="E374" s="18" t="n">
        <v>35</v>
      </c>
      <c r="F374" s="18" t="n">
        <f aca="false">E374*0.5144</f>
        <v>18.004</v>
      </c>
      <c r="G374" s="22" t="e">
        <f aca="false">arclethnm(C373,D373,C374,D374)/6</f>
        <v>#NAME?</v>
      </c>
      <c r="H374" s="22" t="e">
        <f aca="false">G374*0.5144</f>
        <v>#NAME?</v>
      </c>
      <c r="I374" s="18" t="n">
        <v>0</v>
      </c>
    </row>
    <row r="375" customFormat="false" ht="12.75" hidden="false" customHeight="false" outlineLevel="0" collapsed="false">
      <c r="A375" s="18" t="n">
        <f aca="false">B375-0.5</f>
        <v>17.75</v>
      </c>
      <c r="B375" s="18" t="n">
        <f aca="false">B374+0.25</f>
        <v>18.25</v>
      </c>
      <c r="C375" s="18" t="n">
        <v>41.5</v>
      </c>
      <c r="D375" s="18" t="n">
        <v>-82.7</v>
      </c>
      <c r="E375" s="18" t="n">
        <v>35</v>
      </c>
      <c r="F375" s="18" t="n">
        <f aca="false">E375*0.5144</f>
        <v>18.004</v>
      </c>
      <c r="G375" s="22" t="e">
        <f aca="false">arclethnm(C374,D374,C375,D375)/6</f>
        <v>#NAME?</v>
      </c>
      <c r="H375" s="22" t="e">
        <f aca="false">G375*0.5144</f>
        <v>#NAME?</v>
      </c>
      <c r="I375" s="18" t="n">
        <v>0</v>
      </c>
    </row>
    <row r="376" customFormat="false" ht="12.75" hidden="false" customHeight="false" outlineLevel="0" collapsed="false">
      <c r="A376" s="18" t="n">
        <f aca="false">B376-0.5</f>
        <v>18</v>
      </c>
      <c r="B376" s="18" t="n">
        <f aca="false">B375+0.25</f>
        <v>18.5</v>
      </c>
      <c r="C376" s="18" t="n">
        <v>42.6</v>
      </c>
      <c r="D376" s="18" t="n">
        <v>-80.7</v>
      </c>
      <c r="E376" s="18" t="n">
        <v>30</v>
      </c>
      <c r="F376" s="18" t="n">
        <f aca="false">E376*0.5144</f>
        <v>15.432</v>
      </c>
      <c r="G376" s="22" t="e">
        <f aca="false">arclethnm(C375,D375,C376,D376)/6</f>
        <v>#NAME?</v>
      </c>
      <c r="H376" s="22" t="e">
        <f aca="false">G376*0.5144</f>
        <v>#NAME?</v>
      </c>
      <c r="I376" s="18" t="n">
        <v>0</v>
      </c>
    </row>
    <row r="377" customFormat="false" ht="12.75" hidden="false" customHeight="false" outlineLevel="0" collapsed="false">
      <c r="A377" s="18" t="n">
        <f aca="false">B377-0.5</f>
        <v>18.25</v>
      </c>
      <c r="B377" s="18" t="n">
        <f aca="false">B376+0.25</f>
        <v>18.75</v>
      </c>
      <c r="C377" s="18" t="n">
        <v>43.5</v>
      </c>
      <c r="D377" s="18" t="n">
        <v>-79</v>
      </c>
      <c r="E377" s="18" t="n">
        <v>25</v>
      </c>
      <c r="F377" s="18" t="n">
        <f aca="false">E377*0.5144</f>
        <v>12.86</v>
      </c>
      <c r="G377" s="22" t="e">
        <f aca="false">arclethnm(C376,D376,C377,D377)/6</f>
        <v>#NAME?</v>
      </c>
      <c r="H377" s="22" t="e">
        <f aca="false">G377*0.5144</f>
        <v>#NAME?</v>
      </c>
      <c r="I377" s="18" t="n">
        <v>0</v>
      </c>
    </row>
    <row r="378" customFormat="false" ht="12.75" hidden="false" customHeight="false" outlineLevel="0" collapsed="false">
      <c r="A378" s="18" t="n">
        <f aca="false">B378-0.5</f>
        <v>18.5</v>
      </c>
      <c r="B378" s="18" t="n">
        <f aca="false">B377+0.25</f>
        <v>19</v>
      </c>
      <c r="C378" s="18" t="n">
        <v>44.3</v>
      </c>
      <c r="D378" s="18" t="n">
        <v>-77.5</v>
      </c>
      <c r="E378" s="18" t="n">
        <v>25</v>
      </c>
      <c r="F378" s="18" t="n">
        <f aca="false">E378*0.5144</f>
        <v>12.86</v>
      </c>
      <c r="G378" s="22" t="e">
        <f aca="false">arclethnm(C377,D377,C378,D378)/6</f>
        <v>#NAME?</v>
      </c>
      <c r="H378" s="22" t="e">
        <f aca="false">G378*0.5144</f>
        <v>#NAME?</v>
      </c>
      <c r="I378" s="18" t="n">
        <v>0</v>
      </c>
    </row>
    <row r="379" customFormat="false" ht="12.75" hidden="false" customHeight="false" outlineLevel="0" collapsed="false">
      <c r="A379" s="18" t="n">
        <f aca="false">B379-0.5</f>
        <v>18.75</v>
      </c>
      <c r="B379" s="18" t="n">
        <f aca="false">B378+0.25</f>
        <v>19.25</v>
      </c>
      <c r="C379" s="18" t="n">
        <v>45</v>
      </c>
      <c r="D379" s="18" t="n">
        <v>-76.1</v>
      </c>
      <c r="E379" s="18" t="n">
        <v>25</v>
      </c>
      <c r="F379" s="18" t="n">
        <f aca="false">E379*0.5144</f>
        <v>12.86</v>
      </c>
      <c r="G379" s="22" t="e">
        <f aca="false">arclethnm(C378,D378,C379,D379)/6</f>
        <v>#NAME?</v>
      </c>
      <c r="H379" s="22" t="e">
        <f aca="false">G379*0.5144</f>
        <v>#NAME?</v>
      </c>
      <c r="I379" s="18" t="n">
        <v>0</v>
      </c>
    </row>
    <row r="380" customFormat="false" ht="12.75" hidden="false" customHeight="false" outlineLevel="0" collapsed="false">
      <c r="A380" s="18" t="n">
        <f aca="false">B380-0.5</f>
        <v>19</v>
      </c>
      <c r="B380" s="18" t="n">
        <f aca="false">B379+0.25</f>
        <v>19.5</v>
      </c>
      <c r="C380" s="18" t="n">
        <v>45.6</v>
      </c>
      <c r="D380" s="18" t="n">
        <v>-74.7</v>
      </c>
      <c r="E380" s="18" t="n">
        <v>25</v>
      </c>
      <c r="F380" s="18" t="n">
        <f aca="false">E380*0.5144</f>
        <v>12.86</v>
      </c>
      <c r="G380" s="22" t="e">
        <f aca="false">arclethnm(C379,D379,C380,D380)/6</f>
        <v>#NAME?</v>
      </c>
      <c r="H380" s="22" t="e">
        <f aca="false">G380*0.5144</f>
        <v>#NAME?</v>
      </c>
      <c r="I380" s="18" t="n">
        <v>0</v>
      </c>
    </row>
    <row r="381" customFormat="false" ht="12.75" hidden="false" customHeight="false" outlineLevel="0" collapsed="false">
      <c r="A381" s="18" t="n">
        <f aca="false">B381-0.5</f>
        <v>19.25</v>
      </c>
      <c r="B381" s="18" t="n">
        <f aca="false">B380+0.25</f>
        <v>19.75</v>
      </c>
      <c r="C381" s="18" t="n">
        <v>46.2</v>
      </c>
      <c r="D381" s="18" t="n">
        <v>-73.4</v>
      </c>
      <c r="E381" s="18" t="n">
        <v>25</v>
      </c>
      <c r="F381" s="18" t="n">
        <f aca="false">E381*0.5144</f>
        <v>12.86</v>
      </c>
      <c r="G381" s="22" t="e">
        <f aca="false">arclethnm(C380,D380,C381,D381)/6</f>
        <v>#NAME?</v>
      </c>
      <c r="H381" s="22" t="e">
        <f aca="false">G381*0.5144</f>
        <v>#NAME?</v>
      </c>
      <c r="I381" s="18" t="n">
        <v>0</v>
      </c>
    </row>
    <row r="382" customFormat="false" ht="12.75" hidden="false" customHeight="false" outlineLevel="0" collapsed="false">
      <c r="A382" s="18" t="n">
        <f aca="false">B382-0.5</f>
        <v>19.5</v>
      </c>
      <c r="B382" s="18" t="n">
        <f aca="false">B381+0.25</f>
        <v>20</v>
      </c>
      <c r="C382" s="18" t="n">
        <v>47</v>
      </c>
      <c r="D382" s="18" t="n">
        <v>-72.4</v>
      </c>
      <c r="E382" s="18" t="n">
        <v>25</v>
      </c>
      <c r="F382" s="18" t="n">
        <f aca="false">E382*0.5144</f>
        <v>12.86</v>
      </c>
      <c r="G382" s="22" t="e">
        <f aca="false">arclethnm(C381,D381,C382,D382)/6</f>
        <v>#NAME?</v>
      </c>
      <c r="H382" s="22" t="e">
        <f aca="false">G382*0.5144</f>
        <v>#NAME?</v>
      </c>
      <c r="I382" s="18" t="n">
        <v>0</v>
      </c>
    </row>
    <row r="383" customFormat="false" ht="12.75" hidden="false" customHeight="false" outlineLevel="0" collapsed="false">
      <c r="A383" s="0"/>
      <c r="B383" s="0"/>
      <c r="C383" s="0"/>
      <c r="D383" s="0"/>
      <c r="E383" s="0"/>
      <c r="F383" s="0"/>
      <c r="G383" s="22"/>
      <c r="H383" s="22"/>
      <c r="I383" s="0"/>
    </row>
    <row r="384" customFormat="false" ht="12.75" hidden="false" customHeight="false" outlineLevel="0" collapsed="false">
      <c r="A384" s="0"/>
      <c r="B384" s="0"/>
      <c r="C384" s="0"/>
      <c r="D384" s="0"/>
      <c r="E384" s="0"/>
      <c r="F384" s="0"/>
      <c r="G384" s="22"/>
      <c r="H384" s="22"/>
      <c r="I384" s="0"/>
    </row>
    <row r="385" customFormat="false" ht="12.75" hidden="false" customHeight="false" outlineLevel="0" collapsed="false">
      <c r="A385" s="0"/>
      <c r="B385" s="18" t="n">
        <v>1916</v>
      </c>
      <c r="C385" s="0"/>
      <c r="D385" s="0"/>
      <c r="E385" s="0"/>
      <c r="F385" s="0"/>
      <c r="G385" s="22"/>
      <c r="H385" s="22"/>
      <c r="I385" s="0"/>
    </row>
    <row r="386" customFormat="false" ht="12.75" hidden="false" customHeight="false" outlineLevel="0" collapsed="false">
      <c r="A386" s="18" t="n">
        <v>1</v>
      </c>
      <c r="B386" s="18" t="n">
        <v>1.25</v>
      </c>
      <c r="C386" s="18" t="n">
        <v>13.4</v>
      </c>
      <c r="D386" s="18" t="n">
        <v>-55</v>
      </c>
      <c r="E386" s="18" t="n">
        <v>35</v>
      </c>
      <c r="F386" s="18" t="n">
        <f aca="false">E386*0.5144</f>
        <v>18.004</v>
      </c>
      <c r="G386" s="22"/>
      <c r="H386" s="22"/>
      <c r="I386" s="18" t="n">
        <v>0</v>
      </c>
    </row>
    <row r="387" customFormat="false" ht="12.75" hidden="false" customHeight="false" outlineLevel="0" collapsed="false">
      <c r="A387" s="18" t="n">
        <f aca="false">B387-0.25</f>
        <v>1.25</v>
      </c>
      <c r="B387" s="18" t="n">
        <f aca="false">B386+0.25</f>
        <v>1.5</v>
      </c>
      <c r="C387" s="18" t="n">
        <v>13.5</v>
      </c>
      <c r="D387" s="18" t="n">
        <v>-56.4</v>
      </c>
      <c r="E387" s="18" t="n">
        <v>40</v>
      </c>
      <c r="F387" s="18" t="n">
        <f aca="false">E387*0.5144</f>
        <v>20.576</v>
      </c>
      <c r="G387" s="22" t="e">
        <f aca="false">arclethnm(C386,D386,C387,D387)/6</f>
        <v>#NAME?</v>
      </c>
      <c r="H387" s="22" t="e">
        <f aca="false">G387*0.5144</f>
        <v>#NAME?</v>
      </c>
      <c r="I387" s="18" t="n">
        <v>0</v>
      </c>
    </row>
    <row r="388" customFormat="false" ht="12.75" hidden="false" customHeight="false" outlineLevel="0" collapsed="false">
      <c r="A388" s="18" t="n">
        <f aca="false">B388-0.25</f>
        <v>1.5</v>
      </c>
      <c r="B388" s="18" t="n">
        <f aca="false">B387+0.25</f>
        <v>1.75</v>
      </c>
      <c r="C388" s="18" t="n">
        <v>13.6</v>
      </c>
      <c r="D388" s="18" t="n">
        <v>-57.8</v>
      </c>
      <c r="E388" s="18" t="n">
        <v>40</v>
      </c>
      <c r="F388" s="18" t="n">
        <f aca="false">E388*0.5144</f>
        <v>20.576</v>
      </c>
      <c r="G388" s="22" t="e">
        <f aca="false">arclethnm(C387,D387,C388,D388)/6</f>
        <v>#NAME?</v>
      </c>
      <c r="H388" s="22" t="e">
        <f aca="false">G388*0.5144</f>
        <v>#NAME?</v>
      </c>
      <c r="I388" s="18" t="n">
        <v>0</v>
      </c>
    </row>
    <row r="389" customFormat="false" ht="12.75" hidden="false" customHeight="false" outlineLevel="0" collapsed="false">
      <c r="A389" s="18" t="n">
        <f aca="false">B389-0.25</f>
        <v>1.75</v>
      </c>
      <c r="B389" s="18" t="n">
        <f aca="false">B388+0.25</f>
        <v>2</v>
      </c>
      <c r="C389" s="18" t="n">
        <v>13.8</v>
      </c>
      <c r="D389" s="18" t="n">
        <v>-59.2</v>
      </c>
      <c r="E389" s="18" t="n">
        <v>45</v>
      </c>
      <c r="F389" s="18" t="n">
        <f aca="false">E389*0.5144</f>
        <v>23.148</v>
      </c>
      <c r="G389" s="22" t="e">
        <f aca="false">arclethnm(C388,D388,C389,D389)/6</f>
        <v>#NAME?</v>
      </c>
      <c r="H389" s="22" t="e">
        <f aca="false">G389*0.5144</f>
        <v>#NAME?</v>
      </c>
      <c r="I389" s="18" t="n">
        <v>0</v>
      </c>
    </row>
    <row r="390" customFormat="false" ht="12.75" hidden="false" customHeight="false" outlineLevel="0" collapsed="false">
      <c r="A390" s="18" t="n">
        <f aca="false">B390-0.25</f>
        <v>2</v>
      </c>
      <c r="B390" s="18" t="n">
        <f aca="false">B389+0.25</f>
        <v>2.25</v>
      </c>
      <c r="C390" s="18" t="n">
        <v>13.9</v>
      </c>
      <c r="D390" s="18" t="n">
        <v>-60.6</v>
      </c>
      <c r="E390" s="18" t="n">
        <v>45</v>
      </c>
      <c r="F390" s="18" t="n">
        <f aca="false">E390*0.5144</f>
        <v>23.148</v>
      </c>
      <c r="G390" s="22" t="e">
        <f aca="false">arclethnm(C389,D389,C390,D390)/6</f>
        <v>#NAME?</v>
      </c>
      <c r="H390" s="22" t="e">
        <f aca="false">G390*0.5144</f>
        <v>#NAME?</v>
      </c>
      <c r="I390" s="18" t="n">
        <v>0</v>
      </c>
    </row>
    <row r="391" customFormat="false" ht="12.75" hidden="false" customHeight="false" outlineLevel="0" collapsed="false">
      <c r="A391" s="18" t="n">
        <f aca="false">B391-0.25</f>
        <v>2.25</v>
      </c>
      <c r="B391" s="18" t="n">
        <f aca="false">B390+0.25</f>
        <v>2.5</v>
      </c>
      <c r="C391" s="18" t="n">
        <v>14</v>
      </c>
      <c r="D391" s="18" t="n">
        <v>-62</v>
      </c>
      <c r="E391" s="18" t="n">
        <v>50</v>
      </c>
      <c r="F391" s="18" t="n">
        <f aca="false">E391*0.5144</f>
        <v>25.72</v>
      </c>
      <c r="G391" s="22" t="e">
        <f aca="false">arclethnm(C390,D390,C391,D391)/6</f>
        <v>#NAME?</v>
      </c>
      <c r="H391" s="22" t="e">
        <f aca="false">G391*0.5144</f>
        <v>#NAME?</v>
      </c>
      <c r="I391" s="18" t="n">
        <v>0</v>
      </c>
    </row>
    <row r="392" customFormat="false" ht="12.75" hidden="false" customHeight="false" outlineLevel="0" collapsed="false">
      <c r="A392" s="18" t="n">
        <f aca="false">B392-0.25</f>
        <v>2.5</v>
      </c>
      <c r="B392" s="18" t="n">
        <f aca="false">B391+0.25</f>
        <v>2.75</v>
      </c>
      <c r="C392" s="18" t="n">
        <v>14.1</v>
      </c>
      <c r="D392" s="18" t="n">
        <v>-63.6</v>
      </c>
      <c r="E392" s="18" t="n">
        <v>50</v>
      </c>
      <c r="F392" s="18" t="n">
        <f aca="false">E392*0.5144</f>
        <v>25.72</v>
      </c>
      <c r="G392" s="22" t="e">
        <f aca="false">arclethnm(C391,D391,C392,D392)/6</f>
        <v>#NAME?</v>
      </c>
      <c r="H392" s="22" t="e">
        <f aca="false">G392*0.5144</f>
        <v>#NAME?</v>
      </c>
      <c r="I392" s="18" t="n">
        <v>0</v>
      </c>
    </row>
    <row r="393" customFormat="false" ht="12.75" hidden="false" customHeight="false" outlineLevel="0" collapsed="false">
      <c r="A393" s="18" t="n">
        <f aca="false">B393-0.25</f>
        <v>2.75</v>
      </c>
      <c r="B393" s="18" t="n">
        <f aca="false">B392+0.25</f>
        <v>3</v>
      </c>
      <c r="C393" s="18" t="n">
        <v>14.2</v>
      </c>
      <c r="D393" s="18" t="n">
        <v>-65.3</v>
      </c>
      <c r="E393" s="18" t="n">
        <v>55</v>
      </c>
      <c r="F393" s="18" t="n">
        <f aca="false">E393*0.5144</f>
        <v>28.292</v>
      </c>
      <c r="G393" s="22" t="e">
        <f aca="false">arclethnm(C392,D392,C393,D393)/6</f>
        <v>#NAME?</v>
      </c>
      <c r="H393" s="22" t="e">
        <f aca="false">G393*0.5144</f>
        <v>#NAME?</v>
      </c>
      <c r="I393" s="18" t="n">
        <v>0</v>
      </c>
    </row>
    <row r="394" customFormat="false" ht="12.75" hidden="false" customHeight="false" outlineLevel="0" collapsed="false">
      <c r="A394" s="18" t="n">
        <f aca="false">B394-0.25</f>
        <v>3</v>
      </c>
      <c r="B394" s="18" t="n">
        <f aca="false">B393+0.25</f>
        <v>3.25</v>
      </c>
      <c r="C394" s="18" t="n">
        <v>14.3</v>
      </c>
      <c r="D394" s="18" t="n">
        <v>-66.9</v>
      </c>
      <c r="E394" s="18" t="n">
        <v>60</v>
      </c>
      <c r="F394" s="18" t="n">
        <f aca="false">E394*0.5144</f>
        <v>30.864</v>
      </c>
      <c r="G394" s="22" t="e">
        <f aca="false">arclethnm(C393,D393,C394,D394)/6</f>
        <v>#NAME?</v>
      </c>
      <c r="H394" s="22" t="e">
        <f aca="false">G394*0.5144</f>
        <v>#NAME?</v>
      </c>
      <c r="I394" s="18" t="n">
        <v>0</v>
      </c>
    </row>
    <row r="395" customFormat="false" ht="12.75" hidden="false" customHeight="false" outlineLevel="0" collapsed="false">
      <c r="A395" s="18" t="n">
        <f aca="false">B395-0.25</f>
        <v>3.25</v>
      </c>
      <c r="B395" s="18" t="n">
        <f aca="false">B394+0.25</f>
        <v>3.5</v>
      </c>
      <c r="C395" s="18" t="n">
        <v>14.5</v>
      </c>
      <c r="D395" s="18" t="n">
        <v>-68.5</v>
      </c>
      <c r="E395" s="18" t="n">
        <v>60</v>
      </c>
      <c r="F395" s="18" t="n">
        <f aca="false">E395*0.5144</f>
        <v>30.864</v>
      </c>
      <c r="G395" s="22" t="e">
        <f aca="false">arclethnm(C394,D394,C395,D395)/6</f>
        <v>#NAME?</v>
      </c>
      <c r="H395" s="22" t="e">
        <f aca="false">G395*0.5144</f>
        <v>#NAME?</v>
      </c>
      <c r="I395" s="18" t="n">
        <v>0</v>
      </c>
    </row>
    <row r="396" customFormat="false" ht="12.75" hidden="false" customHeight="false" outlineLevel="0" collapsed="false">
      <c r="A396" s="18" t="n">
        <f aca="false">B396-0.25</f>
        <v>3.5</v>
      </c>
      <c r="B396" s="18" t="n">
        <f aca="false">B395+0.25</f>
        <v>3.75</v>
      </c>
      <c r="C396" s="18" t="n">
        <v>14.7</v>
      </c>
      <c r="D396" s="18" t="n">
        <v>-70</v>
      </c>
      <c r="E396" s="18" t="n">
        <v>60</v>
      </c>
      <c r="F396" s="18" t="n">
        <f aca="false">E396*0.5144</f>
        <v>30.864</v>
      </c>
      <c r="G396" s="22" t="e">
        <f aca="false">arclethnm(C395,D395,C396,D396)/6</f>
        <v>#NAME?</v>
      </c>
      <c r="H396" s="22" t="e">
        <f aca="false">G396*0.5144</f>
        <v>#NAME?</v>
      </c>
      <c r="I396" s="18" t="n">
        <v>0</v>
      </c>
    </row>
    <row r="397" customFormat="false" ht="12.75" hidden="false" customHeight="false" outlineLevel="0" collapsed="false">
      <c r="A397" s="18" t="n">
        <f aca="false">B397-0.25</f>
        <v>3.75</v>
      </c>
      <c r="B397" s="18" t="n">
        <f aca="false">B396+0.25</f>
        <v>4</v>
      </c>
      <c r="C397" s="18" t="n">
        <v>15</v>
      </c>
      <c r="D397" s="18" t="n">
        <v>-71.3</v>
      </c>
      <c r="E397" s="18" t="n">
        <v>65</v>
      </c>
      <c r="F397" s="18" t="n">
        <f aca="false">E397*0.5144</f>
        <v>33.436</v>
      </c>
      <c r="G397" s="22" t="e">
        <f aca="false">arclethnm(C396,D396,C397,D397)/6</f>
        <v>#NAME?</v>
      </c>
      <c r="H397" s="22" t="e">
        <f aca="false">G397*0.5144</f>
        <v>#NAME?</v>
      </c>
      <c r="I397" s="18" t="n">
        <v>0</v>
      </c>
    </row>
    <row r="398" customFormat="false" ht="12.75" hidden="false" customHeight="false" outlineLevel="0" collapsed="false">
      <c r="A398" s="18" t="n">
        <f aca="false">B398-0.25</f>
        <v>4</v>
      </c>
      <c r="B398" s="18" t="n">
        <f aca="false">B397+0.25</f>
        <v>4.25</v>
      </c>
      <c r="C398" s="18" t="n">
        <v>15.4</v>
      </c>
      <c r="D398" s="18" t="n">
        <v>-72.6</v>
      </c>
      <c r="E398" s="18" t="n">
        <v>65</v>
      </c>
      <c r="F398" s="18" t="n">
        <f aca="false">E398*0.5144</f>
        <v>33.436</v>
      </c>
      <c r="G398" s="22" t="e">
        <f aca="false">arclethnm(C397,D397,C398,D398)/6</f>
        <v>#NAME?</v>
      </c>
      <c r="H398" s="22" t="e">
        <f aca="false">G398*0.5144</f>
        <v>#NAME?</v>
      </c>
      <c r="I398" s="18" t="n">
        <v>0</v>
      </c>
    </row>
    <row r="399" customFormat="false" ht="12.75" hidden="false" customHeight="false" outlineLevel="0" collapsed="false">
      <c r="A399" s="18" t="n">
        <f aca="false">B399-0.25</f>
        <v>4.25</v>
      </c>
      <c r="B399" s="18" t="n">
        <f aca="false">B398+0.25</f>
        <v>4.5</v>
      </c>
      <c r="C399" s="18" t="n">
        <v>16</v>
      </c>
      <c r="D399" s="18" t="n">
        <v>-74</v>
      </c>
      <c r="E399" s="18" t="n">
        <v>70</v>
      </c>
      <c r="F399" s="18" t="n">
        <f aca="false">E399*0.5144</f>
        <v>36.008</v>
      </c>
      <c r="G399" s="22" t="e">
        <f aca="false">arclethnm(C398,D398,C399,D399)/6</f>
        <v>#NAME?</v>
      </c>
      <c r="H399" s="22" t="e">
        <f aca="false">G399*0.5144</f>
        <v>#NAME?</v>
      </c>
      <c r="I399" s="18" t="n">
        <v>0</v>
      </c>
    </row>
    <row r="400" customFormat="false" ht="12.75" hidden="false" customHeight="false" outlineLevel="0" collapsed="false">
      <c r="A400" s="18" t="n">
        <f aca="false">B400-0.25</f>
        <v>4.5</v>
      </c>
      <c r="B400" s="18" t="n">
        <f aca="false">B399+0.25</f>
        <v>4.75</v>
      </c>
      <c r="C400" s="18" t="n">
        <v>16.8</v>
      </c>
      <c r="D400" s="18" t="n">
        <v>-75.6</v>
      </c>
      <c r="E400" s="18" t="n">
        <v>70</v>
      </c>
      <c r="F400" s="18" t="n">
        <f aca="false">E400*0.5144</f>
        <v>36.008</v>
      </c>
      <c r="G400" s="22" t="e">
        <f aca="false">arclethnm(C399,D399,C400,D400)/6</f>
        <v>#NAME?</v>
      </c>
      <c r="H400" s="22" t="e">
        <f aca="false">G400*0.5144</f>
        <v>#NAME?</v>
      </c>
      <c r="I400" s="18" t="n">
        <v>0</v>
      </c>
    </row>
    <row r="401" customFormat="false" ht="12.75" hidden="false" customHeight="false" outlineLevel="0" collapsed="false">
      <c r="A401" s="18" t="n">
        <f aca="false">B401-0.25</f>
        <v>4.75</v>
      </c>
      <c r="B401" s="18" t="n">
        <f aca="false">B400+0.25</f>
        <v>5</v>
      </c>
      <c r="C401" s="18" t="n">
        <v>17.8</v>
      </c>
      <c r="D401" s="18" t="n">
        <v>-77.3</v>
      </c>
      <c r="E401" s="18" t="n">
        <v>75</v>
      </c>
      <c r="F401" s="18" t="n">
        <f aca="false">E401*0.5144</f>
        <v>38.58</v>
      </c>
      <c r="G401" s="22" t="e">
        <f aca="false">arclethnm(C400,D400,C401,D401)/6</f>
        <v>#NAME?</v>
      </c>
      <c r="H401" s="22" t="e">
        <f aca="false">G401*0.5144</f>
        <v>#NAME?</v>
      </c>
      <c r="I401" s="18" t="n">
        <v>0</v>
      </c>
    </row>
    <row r="402" customFormat="false" ht="12.75" hidden="false" customHeight="false" outlineLevel="0" collapsed="false">
      <c r="A402" s="18" t="n">
        <f aca="false">B402-0.25</f>
        <v>5</v>
      </c>
      <c r="B402" s="18" t="n">
        <f aca="false">B401+0.25</f>
        <v>5.25</v>
      </c>
      <c r="C402" s="18" t="n">
        <v>18.9</v>
      </c>
      <c r="D402" s="18" t="n">
        <v>-79</v>
      </c>
      <c r="E402" s="18" t="n">
        <v>75</v>
      </c>
      <c r="F402" s="18" t="n">
        <f aca="false">E402*0.5144</f>
        <v>38.58</v>
      </c>
      <c r="G402" s="22" t="e">
        <f aca="false">arclethnm(C401,D401,C402,D402)/6</f>
        <v>#NAME?</v>
      </c>
      <c r="H402" s="22" t="e">
        <f aca="false">G402*0.5144</f>
        <v>#NAME?</v>
      </c>
      <c r="I402" s="18" t="n">
        <v>0</v>
      </c>
    </row>
    <row r="403" customFormat="false" ht="12.75" hidden="false" customHeight="false" outlineLevel="0" collapsed="false">
      <c r="A403" s="18" t="n">
        <f aca="false">B403-0.25</f>
        <v>5.25</v>
      </c>
      <c r="B403" s="18" t="n">
        <f aca="false">B402+0.25</f>
        <v>5.5</v>
      </c>
      <c r="C403" s="18" t="n">
        <v>19.8</v>
      </c>
      <c r="D403" s="18" t="n">
        <v>-80.7</v>
      </c>
      <c r="E403" s="18" t="n">
        <v>80</v>
      </c>
      <c r="F403" s="18" t="n">
        <f aca="false">E403*0.5144</f>
        <v>41.152</v>
      </c>
      <c r="G403" s="22" t="e">
        <f aca="false">arclethnm(C402,D402,C403,D403)/6</f>
        <v>#NAME?</v>
      </c>
      <c r="H403" s="22" t="e">
        <f aca="false">G403*0.5144</f>
        <v>#NAME?</v>
      </c>
      <c r="I403" s="18" t="n">
        <v>0</v>
      </c>
    </row>
    <row r="404" customFormat="false" ht="12.75" hidden="false" customHeight="false" outlineLevel="0" collapsed="false">
      <c r="A404" s="18" t="n">
        <f aca="false">B404-0.25</f>
        <v>5.5</v>
      </c>
      <c r="B404" s="18" t="n">
        <f aca="false">B403+0.25</f>
        <v>5.75</v>
      </c>
      <c r="C404" s="18" t="n">
        <v>20.5</v>
      </c>
      <c r="D404" s="18" t="n">
        <v>-82.4</v>
      </c>
      <c r="E404" s="18" t="n">
        <v>85</v>
      </c>
      <c r="F404" s="18" t="n">
        <f aca="false">E404*0.5144</f>
        <v>43.724</v>
      </c>
      <c r="G404" s="22" t="e">
        <f aca="false">arclethnm(C403,D403,C404,D404)/6</f>
        <v>#NAME?</v>
      </c>
      <c r="H404" s="22" t="e">
        <f aca="false">G404*0.5144</f>
        <v>#NAME?</v>
      </c>
      <c r="I404" s="18" t="n">
        <v>0</v>
      </c>
    </row>
    <row r="405" customFormat="false" ht="12.75" hidden="false" customHeight="false" outlineLevel="0" collapsed="false">
      <c r="A405" s="18" t="n">
        <f aca="false">B405-0.25</f>
        <v>5.75</v>
      </c>
      <c r="B405" s="18" t="n">
        <f aca="false">B404+0.25</f>
        <v>6</v>
      </c>
      <c r="C405" s="18" t="n">
        <v>21</v>
      </c>
      <c r="D405" s="18" t="n">
        <v>-84.1</v>
      </c>
      <c r="E405" s="18" t="n">
        <v>90</v>
      </c>
      <c r="F405" s="18" t="n">
        <f aca="false">E405*0.5144</f>
        <v>46.296</v>
      </c>
      <c r="G405" s="22" t="e">
        <f aca="false">arclethnm(C404,D404,C405,D405)/6</f>
        <v>#NAME?</v>
      </c>
      <c r="H405" s="22" t="e">
        <f aca="false">G405*0.5144</f>
        <v>#NAME?</v>
      </c>
      <c r="I405" s="18" t="n">
        <v>0</v>
      </c>
    </row>
    <row r="406" customFormat="false" ht="12.75" hidden="false" customHeight="false" outlineLevel="0" collapsed="false">
      <c r="A406" s="18" t="n">
        <f aca="false">B406-0.25</f>
        <v>6</v>
      </c>
      <c r="B406" s="18" t="n">
        <f aca="false">B405+0.25</f>
        <v>6.25</v>
      </c>
      <c r="C406" s="18" t="n">
        <v>21.5</v>
      </c>
      <c r="D406" s="18" t="n">
        <v>-85.8</v>
      </c>
      <c r="E406" s="18" t="n">
        <v>95</v>
      </c>
      <c r="F406" s="18" t="n">
        <f aca="false">E406*0.5144</f>
        <v>48.868</v>
      </c>
      <c r="G406" s="22" t="e">
        <f aca="false">arclethnm(C405,D405,C406,D406)/6</f>
        <v>#NAME?</v>
      </c>
      <c r="H406" s="22" t="e">
        <f aca="false">G406*0.5144</f>
        <v>#NAME?</v>
      </c>
      <c r="I406" s="18" t="n">
        <v>0</v>
      </c>
    </row>
    <row r="407" customFormat="false" ht="12.75" hidden="false" customHeight="false" outlineLevel="0" collapsed="false">
      <c r="A407" s="18" t="n">
        <f aca="false">B407-0.25</f>
        <v>6.25</v>
      </c>
      <c r="B407" s="18" t="n">
        <f aca="false">B406+0.25</f>
        <v>6.5</v>
      </c>
      <c r="C407" s="18" t="n">
        <v>22</v>
      </c>
      <c r="D407" s="18" t="n">
        <v>-87.6</v>
      </c>
      <c r="E407" s="18" t="n">
        <v>105</v>
      </c>
      <c r="F407" s="18" t="n">
        <f aca="false">E407*0.5144</f>
        <v>54.012</v>
      </c>
      <c r="G407" s="22" t="e">
        <f aca="false">arclethnm(C406,D406,C407,D407)/6</f>
        <v>#NAME?</v>
      </c>
      <c r="H407" s="22" t="e">
        <f aca="false">G407*0.5144</f>
        <v>#NAME?</v>
      </c>
      <c r="I407" s="18" t="n">
        <v>0</v>
      </c>
    </row>
    <row r="408" customFormat="false" ht="12.75" hidden="false" customHeight="false" outlineLevel="0" collapsed="false">
      <c r="A408" s="18" t="n">
        <f aca="false">B408-0.25</f>
        <v>6.5</v>
      </c>
      <c r="B408" s="18" t="n">
        <f aca="false">B407+0.25</f>
        <v>6.75</v>
      </c>
      <c r="C408" s="18" t="n">
        <v>22.8</v>
      </c>
      <c r="D408" s="18" t="n">
        <v>-89.4</v>
      </c>
      <c r="E408" s="18" t="n">
        <v>110</v>
      </c>
      <c r="F408" s="18" t="n">
        <f aca="false">E408*0.5144</f>
        <v>56.584</v>
      </c>
      <c r="G408" s="22" t="e">
        <f aca="false">arclethnm(C407,D407,C408,D408)/6</f>
        <v>#NAME?</v>
      </c>
      <c r="H408" s="22" t="e">
        <f aca="false">G408*0.5144</f>
        <v>#NAME?</v>
      </c>
      <c r="I408" s="18" t="n">
        <v>0</v>
      </c>
    </row>
    <row r="409" customFormat="false" ht="12.75" hidden="false" customHeight="false" outlineLevel="0" collapsed="false">
      <c r="A409" s="18" t="n">
        <f aca="false">B409-0.25</f>
        <v>6.75</v>
      </c>
      <c r="B409" s="18" t="n">
        <f aca="false">B408+0.25</f>
        <v>7</v>
      </c>
      <c r="C409" s="18" t="n">
        <v>23.7</v>
      </c>
      <c r="D409" s="18" t="n">
        <v>-91.2</v>
      </c>
      <c r="E409" s="18" t="n">
        <v>115</v>
      </c>
      <c r="F409" s="18" t="n">
        <f aca="false">E409*0.5144</f>
        <v>59.156</v>
      </c>
      <c r="G409" s="22" t="e">
        <f aca="false">arclethnm(C408,D408,C409,D409)/6</f>
        <v>#NAME?</v>
      </c>
      <c r="H409" s="22" t="e">
        <f aca="false">G409*0.5144</f>
        <v>#NAME?</v>
      </c>
      <c r="I409" s="18" t="n">
        <v>0</v>
      </c>
    </row>
    <row r="410" customFormat="false" ht="12.75" hidden="false" customHeight="false" outlineLevel="0" collapsed="false">
      <c r="A410" s="18" t="n">
        <f aca="false">B410-0.25</f>
        <v>7</v>
      </c>
      <c r="B410" s="18" t="n">
        <f aca="false">B409+0.25</f>
        <v>7.25</v>
      </c>
      <c r="C410" s="18" t="n">
        <v>24.6</v>
      </c>
      <c r="D410" s="18" t="n">
        <v>-93</v>
      </c>
      <c r="E410" s="18" t="n">
        <v>115</v>
      </c>
      <c r="F410" s="18" t="n">
        <f aca="false">E410*0.5144</f>
        <v>59.156</v>
      </c>
      <c r="G410" s="22" t="e">
        <f aca="false">arclethnm(C409,D409,C410,D410)/6</f>
        <v>#NAME?</v>
      </c>
      <c r="H410" s="22" t="e">
        <f aca="false">G410*0.5144</f>
        <v>#NAME?</v>
      </c>
      <c r="I410" s="18" t="n">
        <v>0</v>
      </c>
    </row>
    <row r="411" customFormat="false" ht="12.75" hidden="false" customHeight="false" outlineLevel="0" collapsed="false">
      <c r="A411" s="18" t="n">
        <f aca="false">B411-0.25</f>
        <v>7.25</v>
      </c>
      <c r="B411" s="18" t="n">
        <f aca="false">B410+0.25</f>
        <v>7.5</v>
      </c>
      <c r="C411" s="18" t="n">
        <v>25.5</v>
      </c>
      <c r="D411" s="18" t="n">
        <v>-94.7</v>
      </c>
      <c r="E411" s="18" t="n">
        <v>115</v>
      </c>
      <c r="F411" s="18" t="n">
        <f aca="false">E411*0.5144</f>
        <v>59.156</v>
      </c>
      <c r="G411" s="22" t="e">
        <f aca="false">arclethnm(C410,D410,C411,D411)/6</f>
        <v>#NAME?</v>
      </c>
      <c r="H411" s="22" t="e">
        <f aca="false">G411*0.5144</f>
        <v>#NAME?</v>
      </c>
      <c r="I411" s="18" t="n">
        <v>0</v>
      </c>
    </row>
    <row r="412" customFormat="false" ht="12.75" hidden="false" customHeight="false" outlineLevel="0" collapsed="false">
      <c r="A412" s="18" t="n">
        <f aca="false">B412-0.25</f>
        <v>7.5</v>
      </c>
      <c r="B412" s="18" t="n">
        <f aca="false">B411+0.25</f>
        <v>7.75</v>
      </c>
      <c r="C412" s="18" t="n">
        <v>26.4</v>
      </c>
      <c r="D412" s="18" t="n">
        <v>-96.3</v>
      </c>
      <c r="E412" s="18" t="n">
        <v>115</v>
      </c>
      <c r="F412" s="18" t="n">
        <f aca="false">E412*0.5144</f>
        <v>59.156</v>
      </c>
      <c r="G412" s="22" t="e">
        <f aca="false">arclethnm(C411,D411,C412,D412)/6</f>
        <v>#NAME?</v>
      </c>
      <c r="H412" s="22" t="e">
        <f aca="false">G412*0.5144</f>
        <v>#NAME?</v>
      </c>
      <c r="I412" s="18" t="n">
        <v>932</v>
      </c>
    </row>
    <row r="413" customFormat="false" ht="12.75" hidden="false" customHeight="false" outlineLevel="0" collapsed="false">
      <c r="A413" s="18" t="n">
        <f aca="false">B413-0.25</f>
        <v>7.75</v>
      </c>
      <c r="B413" s="18" t="n">
        <f aca="false">B412+0.25</f>
        <v>8</v>
      </c>
      <c r="C413" s="18" t="n">
        <v>27</v>
      </c>
      <c r="D413" s="18" t="n">
        <v>-97.4</v>
      </c>
      <c r="E413" s="18" t="n">
        <v>115</v>
      </c>
      <c r="F413" s="18" t="n">
        <f aca="false">E413*0.5144</f>
        <v>59.156</v>
      </c>
      <c r="G413" s="22" t="e">
        <f aca="false">arclethnm(C412,D412,C413,D413)/6</f>
        <v>#NAME?</v>
      </c>
      <c r="H413" s="22" t="e">
        <f aca="false">G413*0.5144</f>
        <v>#NAME?</v>
      </c>
      <c r="I413" s="18" t="n">
        <v>932</v>
      </c>
    </row>
    <row r="414" customFormat="false" ht="12.75" hidden="false" customHeight="false" outlineLevel="0" collapsed="false">
      <c r="A414" s="18" t="n">
        <f aca="false">B414-0.25</f>
        <v>8</v>
      </c>
      <c r="B414" s="18" t="n">
        <f aca="false">B413+0.25</f>
        <v>8.25</v>
      </c>
      <c r="C414" s="18" t="n">
        <v>27.2</v>
      </c>
      <c r="D414" s="18" t="n">
        <v>-97.8</v>
      </c>
      <c r="E414" s="18" t="n">
        <v>90</v>
      </c>
      <c r="F414" s="18" t="n">
        <f aca="false">E414*0.5144</f>
        <v>46.296</v>
      </c>
      <c r="G414" s="22" t="e">
        <f aca="false">arclethnm(C413,D413,C414,D414)/6</f>
        <v>#NAME?</v>
      </c>
      <c r="H414" s="22" t="e">
        <f aca="false">G414*0.5144</f>
        <v>#NAME?</v>
      </c>
      <c r="I414" s="18" t="n">
        <v>940</v>
      </c>
    </row>
    <row r="415" customFormat="false" ht="12.75" hidden="false" customHeight="false" outlineLevel="0" collapsed="false">
      <c r="A415" s="18" t="n">
        <f aca="false">B415-0.25</f>
        <v>8.25</v>
      </c>
      <c r="B415" s="18" t="n">
        <f aca="false">B414+0.25</f>
        <v>8.5</v>
      </c>
      <c r="C415" s="18" t="n">
        <v>28.1</v>
      </c>
      <c r="D415" s="18" t="n">
        <v>-99.3</v>
      </c>
      <c r="E415" s="18" t="n">
        <v>60</v>
      </c>
      <c r="F415" s="18" t="n">
        <f aca="false">E415*0.5144</f>
        <v>30.864</v>
      </c>
      <c r="G415" s="22" t="e">
        <f aca="false">arclethnm(C414,D414,C415,D415)/6</f>
        <v>#NAME?</v>
      </c>
      <c r="H415" s="22" t="e">
        <f aca="false">G415*0.5144</f>
        <v>#NAME?</v>
      </c>
      <c r="I415" s="18" t="n">
        <v>0</v>
      </c>
    </row>
    <row r="416" customFormat="false" ht="12.75" hidden="false" customHeight="false" outlineLevel="0" collapsed="false">
      <c r="A416" s="18" t="n">
        <f aca="false">B416-0.25</f>
        <v>8.5</v>
      </c>
      <c r="B416" s="18" t="n">
        <f aca="false">B415+0.25</f>
        <v>8.75</v>
      </c>
      <c r="C416" s="18" t="n">
        <v>29.1</v>
      </c>
      <c r="D416" s="18" t="n">
        <v>-100.7</v>
      </c>
      <c r="E416" s="18" t="n">
        <v>40</v>
      </c>
      <c r="F416" s="18" t="n">
        <f aca="false">E416*0.5144</f>
        <v>20.576</v>
      </c>
      <c r="G416" s="22" t="e">
        <f aca="false">arclethnm(C415,D415,C416,D416)/6</f>
        <v>#NAME?</v>
      </c>
      <c r="H416" s="22" t="e">
        <f aca="false">G416*0.5144</f>
        <v>#NAME?</v>
      </c>
      <c r="I416" s="18" t="n">
        <v>0</v>
      </c>
    </row>
    <row r="417" customFormat="false" ht="12.75" hidden="false" customHeight="false" outlineLevel="0" collapsed="false">
      <c r="A417" s="18" t="n">
        <f aca="false">B417-0.25</f>
        <v>8.75</v>
      </c>
      <c r="B417" s="18" t="n">
        <f aca="false">B416+0.25</f>
        <v>9</v>
      </c>
      <c r="C417" s="18" t="n">
        <v>30.1</v>
      </c>
      <c r="D417" s="18" t="n">
        <v>-101.7</v>
      </c>
      <c r="E417" s="18" t="n">
        <v>30</v>
      </c>
      <c r="F417" s="18" t="n">
        <f aca="false">E417*0.5144</f>
        <v>15.432</v>
      </c>
      <c r="G417" s="22" t="e">
        <f aca="false">arclethnm(C416,D416,C417,D417)/6</f>
        <v>#NAME?</v>
      </c>
      <c r="H417" s="22" t="e">
        <f aca="false">G417*0.5144</f>
        <v>#NAME?</v>
      </c>
      <c r="I417" s="18" t="n">
        <v>0</v>
      </c>
    </row>
    <row r="418" customFormat="false" ht="12.75" hidden="false" customHeight="false" outlineLevel="0" collapsed="false">
      <c r="A418" s="18" t="n">
        <f aca="false">B418-0.25</f>
        <v>9</v>
      </c>
      <c r="B418" s="18" t="n">
        <f aca="false">B417+0.25</f>
        <v>9.25</v>
      </c>
      <c r="C418" s="18" t="n">
        <v>31.2</v>
      </c>
      <c r="D418" s="18" t="n">
        <v>-102.5</v>
      </c>
      <c r="E418" s="18" t="n">
        <v>25</v>
      </c>
      <c r="F418" s="18" t="n">
        <f aca="false">E418*0.5144</f>
        <v>12.86</v>
      </c>
      <c r="G418" s="22" t="e">
        <f aca="false">arclethnm(C417,D417,C418,D418)/6</f>
        <v>#NAME?</v>
      </c>
      <c r="H418" s="22" t="e">
        <f aca="false">G418*0.5144</f>
        <v>#NAME?</v>
      </c>
      <c r="I418" s="18" t="n">
        <v>0</v>
      </c>
    </row>
    <row r="419" customFormat="false" ht="12.75" hidden="false" customHeight="false" outlineLevel="0" collapsed="false">
      <c r="A419" s="0"/>
      <c r="B419" s="0"/>
      <c r="C419" s="0"/>
      <c r="D419" s="0"/>
      <c r="E419" s="0"/>
      <c r="F419" s="0"/>
      <c r="G419" s="22"/>
      <c r="H419" s="22"/>
      <c r="I419" s="0"/>
    </row>
    <row r="420" customFormat="false" ht="12.75" hidden="false" customHeight="false" outlineLevel="0" collapsed="false">
      <c r="A420" s="0"/>
      <c r="B420" s="0"/>
      <c r="C420" s="0"/>
      <c r="D420" s="0"/>
      <c r="E420" s="0"/>
      <c r="F420" s="0"/>
      <c r="G420" s="22"/>
      <c r="H420" s="22"/>
      <c r="I420" s="0"/>
    </row>
    <row r="421" customFormat="false" ht="12.75" hidden="false" customHeight="false" outlineLevel="0" collapsed="false">
      <c r="A421" s="0"/>
      <c r="B421" s="0"/>
      <c r="C421" s="0"/>
      <c r="D421" s="0"/>
      <c r="E421" s="0"/>
      <c r="F421" s="0"/>
      <c r="G421" s="22"/>
      <c r="H421" s="22"/>
      <c r="I421" s="0"/>
    </row>
    <row r="422" customFormat="false" ht="12.75" hidden="false" customHeight="false" outlineLevel="0" collapsed="false">
      <c r="A422" s="0"/>
      <c r="B422" s="18" t="n">
        <v>1918</v>
      </c>
      <c r="C422" s="0"/>
      <c r="D422" s="0"/>
      <c r="E422" s="0"/>
      <c r="F422" s="0"/>
      <c r="G422" s="22"/>
      <c r="H422" s="22"/>
      <c r="I422" s="0"/>
    </row>
    <row r="423" customFormat="false" ht="12.75" hidden="false" customHeight="false" outlineLevel="0" collapsed="false">
      <c r="A423" s="18" t="n">
        <v>1</v>
      </c>
      <c r="B423" s="18" t="n">
        <v>1</v>
      </c>
      <c r="C423" s="18" t="n">
        <v>12.6</v>
      </c>
      <c r="D423" s="18" t="n">
        <v>-58.5</v>
      </c>
      <c r="E423" s="18" t="n">
        <v>35</v>
      </c>
      <c r="F423" s="18" t="n">
        <f aca="false">E423*0.5144</f>
        <v>18.004</v>
      </c>
      <c r="G423" s="22"/>
      <c r="H423" s="22"/>
      <c r="I423" s="18" t="n">
        <v>0</v>
      </c>
    </row>
    <row r="424" customFormat="false" ht="12.75" hidden="false" customHeight="false" outlineLevel="0" collapsed="false">
      <c r="A424" s="18" t="n">
        <f aca="false">A423+0.25</f>
        <v>1.25</v>
      </c>
      <c r="B424" s="18" t="n">
        <f aca="false">B423+0.25</f>
        <v>1.25</v>
      </c>
      <c r="C424" s="18" t="n">
        <v>12.8</v>
      </c>
      <c r="D424" s="18" t="n">
        <v>-60.3</v>
      </c>
      <c r="E424" s="18" t="n">
        <v>35</v>
      </c>
      <c r="F424" s="18" t="n">
        <f aca="false">E424*0.5144</f>
        <v>18.004</v>
      </c>
      <c r="G424" s="22" t="e">
        <f aca="false">arclethnm(C423,D423,C424,D424)/6</f>
        <v>#NAME?</v>
      </c>
      <c r="H424" s="22" t="e">
        <f aca="false">G424*0.5144</f>
        <v>#NAME?</v>
      </c>
      <c r="I424" s="18" t="n">
        <v>0</v>
      </c>
    </row>
    <row r="425" customFormat="false" ht="12.75" hidden="false" customHeight="false" outlineLevel="0" collapsed="false">
      <c r="A425" s="18" t="n">
        <f aca="false">A424+0.25</f>
        <v>1.5</v>
      </c>
      <c r="B425" s="18" t="n">
        <f aca="false">B424+0.25</f>
        <v>1.5</v>
      </c>
      <c r="C425" s="18" t="n">
        <v>13</v>
      </c>
      <c r="D425" s="18" t="n">
        <v>-62</v>
      </c>
      <c r="E425" s="18" t="n">
        <v>35</v>
      </c>
      <c r="F425" s="18" t="n">
        <f aca="false">E425*0.5144</f>
        <v>18.004</v>
      </c>
      <c r="G425" s="22" t="e">
        <f aca="false">arclethnm(C424,D424,C425,D425)/6</f>
        <v>#NAME?</v>
      </c>
      <c r="H425" s="22" t="e">
        <f aca="false">G425*0.5144</f>
        <v>#NAME?</v>
      </c>
      <c r="I425" s="18" t="n">
        <v>0</v>
      </c>
    </row>
    <row r="426" customFormat="false" ht="12.75" hidden="false" customHeight="false" outlineLevel="0" collapsed="false">
      <c r="A426" s="18" t="n">
        <f aca="false">A425+0.25</f>
        <v>1.75</v>
      </c>
      <c r="B426" s="18" t="n">
        <f aca="false">B425+0.25</f>
        <v>1.75</v>
      </c>
      <c r="C426" s="18" t="n">
        <v>13.2</v>
      </c>
      <c r="D426" s="18" t="n">
        <v>-63.8</v>
      </c>
      <c r="E426" s="18" t="n">
        <v>35</v>
      </c>
      <c r="F426" s="18" t="n">
        <f aca="false">E426*0.5144</f>
        <v>18.004</v>
      </c>
      <c r="G426" s="22" t="e">
        <f aca="false">arclethnm(C425,D425,C426,D426)/6</f>
        <v>#NAME?</v>
      </c>
      <c r="H426" s="22" t="e">
        <f aca="false">G426*0.5144</f>
        <v>#NAME?</v>
      </c>
      <c r="I426" s="18" t="n">
        <v>0</v>
      </c>
    </row>
    <row r="427" customFormat="false" ht="12.75" hidden="false" customHeight="false" outlineLevel="0" collapsed="false">
      <c r="A427" s="18" t="n">
        <f aca="false">A426+0.25</f>
        <v>2</v>
      </c>
      <c r="B427" s="18" t="n">
        <f aca="false">B426+0.25</f>
        <v>2</v>
      </c>
      <c r="C427" s="18" t="n">
        <v>13.4</v>
      </c>
      <c r="D427" s="18" t="n">
        <v>-65.5</v>
      </c>
      <c r="E427" s="18" t="n">
        <v>35</v>
      </c>
      <c r="F427" s="18" t="n">
        <f aca="false">E427*0.5144</f>
        <v>18.004</v>
      </c>
      <c r="G427" s="22" t="e">
        <f aca="false">arclethnm(C426,D426,C427,D427)/6</f>
        <v>#NAME?</v>
      </c>
      <c r="H427" s="22" t="e">
        <f aca="false">G427*0.5144</f>
        <v>#NAME?</v>
      </c>
      <c r="I427" s="18" t="n">
        <v>0</v>
      </c>
    </row>
    <row r="428" customFormat="false" ht="12.75" hidden="false" customHeight="false" outlineLevel="0" collapsed="false">
      <c r="A428" s="18" t="n">
        <f aca="false">A427+0.25</f>
        <v>2.25</v>
      </c>
      <c r="B428" s="18" t="n">
        <f aca="false">B427+0.25</f>
        <v>2.25</v>
      </c>
      <c r="C428" s="18" t="n">
        <v>13.7</v>
      </c>
      <c r="D428" s="18" t="n">
        <v>-67.3</v>
      </c>
      <c r="E428" s="18" t="n">
        <v>40</v>
      </c>
      <c r="F428" s="18" t="n">
        <f aca="false">E428*0.5144</f>
        <v>20.576</v>
      </c>
      <c r="G428" s="22" t="e">
        <f aca="false">arclethnm(C427,D427,C428,D428)/6</f>
        <v>#NAME?</v>
      </c>
      <c r="H428" s="22" t="e">
        <f aca="false">G428*0.5144</f>
        <v>#NAME?</v>
      </c>
      <c r="I428" s="18" t="n">
        <v>0</v>
      </c>
    </row>
    <row r="429" customFormat="false" ht="12.75" hidden="false" customHeight="false" outlineLevel="0" collapsed="false">
      <c r="A429" s="18" t="n">
        <f aca="false">A428+0.25</f>
        <v>2.5</v>
      </c>
      <c r="B429" s="18" t="n">
        <f aca="false">B428+0.25</f>
        <v>2.5</v>
      </c>
      <c r="C429" s="18" t="n">
        <v>14</v>
      </c>
      <c r="D429" s="18" t="n">
        <v>-69</v>
      </c>
      <c r="E429" s="18" t="n">
        <v>40</v>
      </c>
      <c r="F429" s="18" t="n">
        <f aca="false">E429*0.5144</f>
        <v>20.576</v>
      </c>
      <c r="G429" s="22" t="e">
        <f aca="false">arclethnm(C428,D428,C429,D429)/6</f>
        <v>#NAME?</v>
      </c>
      <c r="H429" s="22" t="e">
        <f aca="false">G429*0.5144</f>
        <v>#NAME?</v>
      </c>
      <c r="I429" s="18" t="n">
        <v>0</v>
      </c>
    </row>
    <row r="430" customFormat="false" ht="12.75" hidden="false" customHeight="false" outlineLevel="0" collapsed="false">
      <c r="A430" s="18" t="n">
        <f aca="false">A429+0.25</f>
        <v>2.75</v>
      </c>
      <c r="B430" s="18" t="n">
        <f aca="false">B429+0.25</f>
        <v>2.75</v>
      </c>
      <c r="C430" s="18" t="n">
        <v>14.4</v>
      </c>
      <c r="D430" s="18" t="n">
        <v>-70.8</v>
      </c>
      <c r="E430" s="18" t="n">
        <v>40</v>
      </c>
      <c r="F430" s="18" t="n">
        <f aca="false">E430*0.5144</f>
        <v>20.576</v>
      </c>
      <c r="G430" s="22" t="e">
        <f aca="false">arclethnm(C429,D429,C430,D430)/6</f>
        <v>#NAME?</v>
      </c>
      <c r="H430" s="22" t="e">
        <f aca="false">G430*0.5144</f>
        <v>#NAME?</v>
      </c>
      <c r="I430" s="18" t="n">
        <v>0</v>
      </c>
    </row>
    <row r="431" customFormat="false" ht="12.75" hidden="false" customHeight="false" outlineLevel="0" collapsed="false">
      <c r="A431" s="18" t="n">
        <f aca="false">A430+0.25</f>
        <v>3</v>
      </c>
      <c r="B431" s="18" t="n">
        <f aca="false">B430+0.25</f>
        <v>3</v>
      </c>
      <c r="C431" s="18" t="n">
        <v>14.9</v>
      </c>
      <c r="D431" s="18" t="n">
        <v>-72.5</v>
      </c>
      <c r="E431" s="18" t="n">
        <v>45</v>
      </c>
      <c r="F431" s="18" t="n">
        <f aca="false">E431*0.5144</f>
        <v>23.148</v>
      </c>
      <c r="G431" s="22" t="e">
        <f aca="false">arclethnm(C430,D430,C431,D431)/6</f>
        <v>#NAME?</v>
      </c>
      <c r="H431" s="22" t="e">
        <f aca="false">G431*0.5144</f>
        <v>#NAME?</v>
      </c>
      <c r="I431" s="18" t="n">
        <v>0</v>
      </c>
    </row>
    <row r="432" customFormat="false" ht="12.75" hidden="false" customHeight="false" outlineLevel="0" collapsed="false">
      <c r="A432" s="18" t="n">
        <f aca="false">A431+0.25</f>
        <v>3.25</v>
      </c>
      <c r="B432" s="18" t="n">
        <f aca="false">B431+0.25</f>
        <v>3.25</v>
      </c>
      <c r="C432" s="18" t="n">
        <v>15.4</v>
      </c>
      <c r="D432" s="18" t="n">
        <v>-74.3</v>
      </c>
      <c r="E432" s="18" t="n">
        <v>45</v>
      </c>
      <c r="F432" s="18" t="n">
        <f aca="false">E432*0.5144</f>
        <v>23.148</v>
      </c>
      <c r="G432" s="22" t="e">
        <f aca="false">arclethnm(C431,D431,C432,D432)/6</f>
        <v>#NAME?</v>
      </c>
      <c r="H432" s="22" t="e">
        <f aca="false">G432*0.5144</f>
        <v>#NAME?</v>
      </c>
      <c r="I432" s="18" t="n">
        <v>0</v>
      </c>
    </row>
    <row r="433" customFormat="false" ht="12.75" hidden="false" customHeight="false" outlineLevel="0" collapsed="false">
      <c r="A433" s="18" t="n">
        <f aca="false">A432+0.25</f>
        <v>3.5</v>
      </c>
      <c r="B433" s="18" t="n">
        <f aca="false">B432+0.25</f>
        <v>3.5</v>
      </c>
      <c r="C433" s="18" t="n">
        <v>16</v>
      </c>
      <c r="D433" s="18" t="n">
        <v>-76</v>
      </c>
      <c r="E433" s="18" t="n">
        <v>45</v>
      </c>
      <c r="F433" s="18" t="n">
        <f aca="false">E433*0.5144</f>
        <v>23.148</v>
      </c>
      <c r="G433" s="22" t="e">
        <f aca="false">arclethnm(C432,D432,C433,D433)/6</f>
        <v>#NAME?</v>
      </c>
      <c r="H433" s="22" t="e">
        <f aca="false">G433*0.5144</f>
        <v>#NAME?</v>
      </c>
      <c r="I433" s="18" t="n">
        <v>0</v>
      </c>
    </row>
    <row r="434" customFormat="false" ht="12.75" hidden="false" customHeight="false" outlineLevel="0" collapsed="false">
      <c r="A434" s="18" t="n">
        <f aca="false">A433+0.25</f>
        <v>3.75</v>
      </c>
      <c r="B434" s="18" t="n">
        <f aca="false">B433+0.25</f>
        <v>3.75</v>
      </c>
      <c r="C434" s="18" t="n">
        <v>16.8</v>
      </c>
      <c r="D434" s="18" t="n">
        <v>-77.6</v>
      </c>
      <c r="E434" s="18" t="n">
        <v>50</v>
      </c>
      <c r="F434" s="18" t="n">
        <f aca="false">E434*0.5144</f>
        <v>25.72</v>
      </c>
      <c r="G434" s="22" t="e">
        <f aca="false">arclethnm(C433,D433,C434,D434)/6</f>
        <v>#NAME?</v>
      </c>
      <c r="H434" s="22" t="e">
        <f aca="false">G434*0.5144</f>
        <v>#NAME?</v>
      </c>
      <c r="I434" s="18" t="n">
        <v>0</v>
      </c>
    </row>
    <row r="435" customFormat="false" ht="12.75" hidden="false" customHeight="false" outlineLevel="0" collapsed="false">
      <c r="A435" s="18" t="n">
        <f aca="false">A434+0.25</f>
        <v>4</v>
      </c>
      <c r="B435" s="18" t="n">
        <f aca="false">B434+0.25</f>
        <v>4</v>
      </c>
      <c r="C435" s="18" t="n">
        <v>17.7</v>
      </c>
      <c r="D435" s="18" t="n">
        <v>-79.3</v>
      </c>
      <c r="E435" s="18" t="n">
        <v>50</v>
      </c>
      <c r="F435" s="18" t="n">
        <f aca="false">E435*0.5144</f>
        <v>25.72</v>
      </c>
      <c r="G435" s="22" t="e">
        <f aca="false">arclethnm(C434,D434,C435,D435)/6</f>
        <v>#NAME?</v>
      </c>
      <c r="H435" s="22" t="e">
        <f aca="false">G435*0.5144</f>
        <v>#NAME?</v>
      </c>
      <c r="I435" s="18" t="n">
        <v>0</v>
      </c>
    </row>
    <row r="436" customFormat="false" ht="12.75" hidden="false" customHeight="false" outlineLevel="0" collapsed="false">
      <c r="A436" s="18" t="n">
        <f aca="false">A435+0.25</f>
        <v>4.25</v>
      </c>
      <c r="B436" s="18" t="n">
        <f aca="false">B435+0.25</f>
        <v>4.25</v>
      </c>
      <c r="C436" s="18" t="n">
        <v>18.6</v>
      </c>
      <c r="D436" s="18" t="n">
        <v>-80.9</v>
      </c>
      <c r="E436" s="18" t="n">
        <v>50</v>
      </c>
      <c r="F436" s="18" t="n">
        <f aca="false">E436*0.5144</f>
        <v>25.72</v>
      </c>
      <c r="G436" s="22" t="e">
        <f aca="false">arclethnm(C435,D435,C436,D436)/6</f>
        <v>#NAME?</v>
      </c>
      <c r="H436" s="22" t="e">
        <f aca="false">G436*0.5144</f>
        <v>#NAME?</v>
      </c>
      <c r="I436" s="18" t="n">
        <v>0</v>
      </c>
    </row>
    <row r="437" customFormat="false" ht="12.75" hidden="false" customHeight="false" outlineLevel="0" collapsed="false">
      <c r="A437" s="18" t="n">
        <f aca="false">A436+0.25</f>
        <v>4.5</v>
      </c>
      <c r="B437" s="18" t="n">
        <f aca="false">B436+0.25</f>
        <v>4.5</v>
      </c>
      <c r="C437" s="18" t="n">
        <v>19.5</v>
      </c>
      <c r="D437" s="18" t="n">
        <v>-82.5</v>
      </c>
      <c r="E437" s="18" t="n">
        <v>55</v>
      </c>
      <c r="F437" s="18" t="n">
        <f aca="false">E437*0.5144</f>
        <v>28.292</v>
      </c>
      <c r="G437" s="22" t="e">
        <f aca="false">arclethnm(C436,D436,C437,D437)/6</f>
        <v>#NAME?</v>
      </c>
      <c r="H437" s="22" t="e">
        <f aca="false">G437*0.5144</f>
        <v>#NAME?</v>
      </c>
      <c r="I437" s="18" t="n">
        <v>0</v>
      </c>
    </row>
    <row r="438" customFormat="false" ht="12.75" hidden="false" customHeight="false" outlineLevel="0" collapsed="false">
      <c r="A438" s="18" t="n">
        <f aca="false">A437+0.25</f>
        <v>4.75</v>
      </c>
      <c r="B438" s="18" t="n">
        <f aca="false">B437+0.25</f>
        <v>4.75</v>
      </c>
      <c r="C438" s="18" t="n">
        <v>20.5</v>
      </c>
      <c r="D438" s="18" t="n">
        <v>-84</v>
      </c>
      <c r="E438" s="18" t="n">
        <v>55</v>
      </c>
      <c r="F438" s="18" t="n">
        <f aca="false">E438*0.5144</f>
        <v>28.292</v>
      </c>
      <c r="G438" s="22" t="e">
        <f aca="false">arclethnm(C437,D437,C438,D438)/6</f>
        <v>#NAME?</v>
      </c>
      <c r="H438" s="22" t="e">
        <f aca="false">G438*0.5144</f>
        <v>#NAME?</v>
      </c>
      <c r="I438" s="18" t="n">
        <v>0</v>
      </c>
    </row>
    <row r="439" customFormat="false" ht="12.75" hidden="false" customHeight="false" outlineLevel="0" collapsed="false">
      <c r="A439" s="18" t="n">
        <f aca="false">A438+0.25</f>
        <v>5</v>
      </c>
      <c r="B439" s="18" t="n">
        <f aca="false">B438+0.25</f>
        <v>5</v>
      </c>
      <c r="C439" s="18" t="n">
        <v>21.5</v>
      </c>
      <c r="D439" s="18" t="n">
        <v>-85.5</v>
      </c>
      <c r="E439" s="18" t="n">
        <v>55</v>
      </c>
      <c r="F439" s="18" t="n">
        <f aca="false">E439*0.5144</f>
        <v>28.292</v>
      </c>
      <c r="G439" s="22" t="e">
        <f aca="false">arclethnm(C438,D438,C439,D439)/6</f>
        <v>#NAME?</v>
      </c>
      <c r="H439" s="22" t="e">
        <f aca="false">G439*0.5144</f>
        <v>#NAME?</v>
      </c>
      <c r="I439" s="18" t="n">
        <v>0</v>
      </c>
    </row>
    <row r="440" customFormat="false" ht="12.75" hidden="false" customHeight="false" outlineLevel="0" collapsed="false">
      <c r="A440" s="18" t="n">
        <f aca="false">A439+0.25</f>
        <v>5.25</v>
      </c>
      <c r="B440" s="18" t="n">
        <f aca="false">B439+0.25</f>
        <v>5.25</v>
      </c>
      <c r="C440" s="18" t="n">
        <v>22.5</v>
      </c>
      <c r="D440" s="18" t="n">
        <v>-86.9</v>
      </c>
      <c r="E440" s="18" t="n">
        <v>60</v>
      </c>
      <c r="F440" s="18" t="n">
        <f aca="false">E440*0.5144</f>
        <v>30.864</v>
      </c>
      <c r="G440" s="22" t="e">
        <f aca="false">arclethnm(C439,D439,C440,D440)/6</f>
        <v>#NAME?</v>
      </c>
      <c r="H440" s="22" t="e">
        <f aca="false">G440*0.5144</f>
        <v>#NAME?</v>
      </c>
      <c r="I440" s="18" t="n">
        <v>0</v>
      </c>
    </row>
    <row r="441" customFormat="false" ht="12.75" hidden="false" customHeight="false" outlineLevel="0" collapsed="false">
      <c r="A441" s="18" t="n">
        <f aca="false">A440+0.25</f>
        <v>5.5</v>
      </c>
      <c r="B441" s="18" t="n">
        <f aca="false">B440+0.25</f>
        <v>5.5</v>
      </c>
      <c r="C441" s="18" t="n">
        <v>23.5</v>
      </c>
      <c r="D441" s="18" t="n">
        <v>-88.3</v>
      </c>
      <c r="E441" s="18" t="n">
        <v>70</v>
      </c>
      <c r="F441" s="18" t="n">
        <f aca="false">E441*0.5144</f>
        <v>36.008</v>
      </c>
      <c r="G441" s="22" t="e">
        <f aca="false">arclethnm(C440,D440,C441,D441)/6</f>
        <v>#NAME?</v>
      </c>
      <c r="H441" s="22" t="e">
        <f aca="false">G441*0.5144</f>
        <v>#NAME?</v>
      </c>
      <c r="I441" s="18" t="n">
        <v>0</v>
      </c>
    </row>
    <row r="442" customFormat="false" ht="12.75" hidden="false" customHeight="false" outlineLevel="0" collapsed="false">
      <c r="A442" s="18" t="n">
        <f aca="false">A441+0.25</f>
        <v>5.75</v>
      </c>
      <c r="B442" s="18" t="n">
        <f aca="false">B441+0.25</f>
        <v>5.75</v>
      </c>
      <c r="C442" s="18" t="n">
        <v>24.6</v>
      </c>
      <c r="D442" s="18" t="n">
        <v>-89.4</v>
      </c>
      <c r="E442" s="18" t="n">
        <v>80</v>
      </c>
      <c r="F442" s="18" t="n">
        <f aca="false">E442*0.5144</f>
        <v>41.152</v>
      </c>
      <c r="G442" s="22" t="e">
        <f aca="false">arclethnm(C441,D441,C442,D442)/6</f>
        <v>#NAME?</v>
      </c>
      <c r="H442" s="22" t="e">
        <f aca="false">G442*0.5144</f>
        <v>#NAME?</v>
      </c>
      <c r="I442" s="18" t="n">
        <v>0</v>
      </c>
    </row>
    <row r="443" customFormat="false" ht="12.75" hidden="false" customHeight="false" outlineLevel="0" collapsed="false">
      <c r="A443" s="18" t="n">
        <f aca="false">A442+0.25</f>
        <v>6</v>
      </c>
      <c r="B443" s="18" t="n">
        <f aca="false">B442+0.25</f>
        <v>6</v>
      </c>
      <c r="C443" s="18" t="n">
        <v>25.8</v>
      </c>
      <c r="D443" s="18" t="n">
        <v>-90.4</v>
      </c>
      <c r="E443" s="18" t="n">
        <v>90</v>
      </c>
      <c r="F443" s="18" t="n">
        <f aca="false">E443*0.5144</f>
        <v>46.296</v>
      </c>
      <c r="G443" s="22" t="e">
        <f aca="false">arclethnm(C442,D442,C443,D443)/6</f>
        <v>#NAME?</v>
      </c>
      <c r="H443" s="22" t="e">
        <f aca="false">G443*0.5144</f>
        <v>#NAME?</v>
      </c>
      <c r="I443" s="18" t="n">
        <v>0</v>
      </c>
    </row>
    <row r="444" customFormat="false" ht="12.75" hidden="false" customHeight="false" outlineLevel="0" collapsed="false">
      <c r="A444" s="18" t="n">
        <f aca="false">A443+0.25</f>
        <v>6.25</v>
      </c>
      <c r="B444" s="18" t="n">
        <f aca="false">B443+0.25</f>
        <v>6.25</v>
      </c>
      <c r="C444" s="18" t="n">
        <v>27.1</v>
      </c>
      <c r="D444" s="18" t="n">
        <v>-91.4</v>
      </c>
      <c r="E444" s="18" t="n">
        <v>100</v>
      </c>
      <c r="F444" s="18" t="n">
        <f aca="false">E444*0.5144</f>
        <v>51.44</v>
      </c>
      <c r="G444" s="22" t="e">
        <f aca="false">arclethnm(C443,D443,C444,D444)/6</f>
        <v>#NAME?</v>
      </c>
      <c r="H444" s="22" t="e">
        <f aca="false">G444*0.5144</f>
        <v>#NAME?</v>
      </c>
      <c r="I444" s="18" t="n">
        <v>0</v>
      </c>
    </row>
    <row r="445" customFormat="false" ht="12.75" hidden="false" customHeight="false" outlineLevel="0" collapsed="false">
      <c r="A445" s="18" t="n">
        <f aca="false">A444+0.25</f>
        <v>6.5</v>
      </c>
      <c r="B445" s="18" t="n">
        <f aca="false">B444+0.25</f>
        <v>6.5</v>
      </c>
      <c r="C445" s="18" t="n">
        <v>28.5</v>
      </c>
      <c r="D445" s="18" t="n">
        <v>-92.3</v>
      </c>
      <c r="E445" s="18" t="n">
        <v>105</v>
      </c>
      <c r="F445" s="18" t="n">
        <f aca="false">E445*0.5144</f>
        <v>54.012</v>
      </c>
      <c r="G445" s="22" t="e">
        <f aca="false">arclethnm(C444,D444,C445,D445)/6</f>
        <v>#NAME?</v>
      </c>
      <c r="H445" s="22" t="e">
        <f aca="false">G445*0.5144</f>
        <v>#NAME?</v>
      </c>
      <c r="I445" s="18" t="n">
        <v>0</v>
      </c>
    </row>
    <row r="446" customFormat="false" ht="12.75" hidden="false" customHeight="false" outlineLevel="0" collapsed="false">
      <c r="A446" s="18" t="n">
        <f aca="false">A445+0.25</f>
        <v>6.75</v>
      </c>
      <c r="B446" s="18" t="n">
        <f aca="false">B445+0.25</f>
        <v>6.75</v>
      </c>
      <c r="C446" s="18" t="n">
        <v>29.8</v>
      </c>
      <c r="D446" s="18" t="n">
        <v>-93.2</v>
      </c>
      <c r="E446" s="18" t="n">
        <v>105</v>
      </c>
      <c r="F446" s="18" t="n">
        <f aca="false">E446*0.5144</f>
        <v>54.012</v>
      </c>
      <c r="G446" s="22" t="e">
        <f aca="false">arclethnm(C445,D445,C446,D446)/6</f>
        <v>#NAME?</v>
      </c>
      <c r="H446" s="22" t="e">
        <f aca="false">G446*0.5144</f>
        <v>#NAME?</v>
      </c>
      <c r="I446" s="18" t="n">
        <v>955</v>
      </c>
    </row>
    <row r="447" customFormat="false" ht="12.75" hidden="false" customHeight="false" outlineLevel="0" collapsed="false">
      <c r="A447" s="18" t="n">
        <f aca="false">A446+0.25</f>
        <v>7</v>
      </c>
      <c r="B447" s="18" t="n">
        <f aca="false">B446+0.25</f>
        <v>7</v>
      </c>
      <c r="C447" s="18" t="n">
        <v>31</v>
      </c>
      <c r="D447" s="18" t="n">
        <v>-94</v>
      </c>
      <c r="E447" s="18" t="n">
        <v>60</v>
      </c>
      <c r="F447" s="18" t="n">
        <f aca="false">E447*0.5144</f>
        <v>30.864</v>
      </c>
      <c r="G447" s="22" t="e">
        <f aca="false">arclethnm(C446,D446,C447,D447)/6</f>
        <v>#NAME?</v>
      </c>
      <c r="H447" s="22" t="e">
        <f aca="false">G447*0.5144</f>
        <v>#NAME?</v>
      </c>
      <c r="I447" s="18" t="n">
        <v>0</v>
      </c>
    </row>
    <row r="448" customFormat="false" ht="12.75" hidden="false" customHeight="false" outlineLevel="0" collapsed="false">
      <c r="A448" s="18" t="n">
        <f aca="false">A447+0.25</f>
        <v>7.25</v>
      </c>
      <c r="B448" s="18" t="n">
        <f aca="false">B447+0.25</f>
        <v>7.25</v>
      </c>
      <c r="C448" s="18" t="n">
        <v>32.2</v>
      </c>
      <c r="D448" s="18" t="n">
        <v>-94.6</v>
      </c>
      <c r="E448" s="18" t="n">
        <v>45</v>
      </c>
      <c r="F448" s="18" t="n">
        <f aca="false">E448*0.5144</f>
        <v>23.148</v>
      </c>
      <c r="G448" s="22" t="e">
        <f aca="false">arclethnm(C447,D447,C448,D448)/6</f>
        <v>#NAME?</v>
      </c>
      <c r="H448" s="22" t="e">
        <f aca="false">G448*0.5144</f>
        <v>#NAME?</v>
      </c>
      <c r="I448" s="18" t="n">
        <v>0</v>
      </c>
    </row>
    <row r="449" customFormat="false" ht="12.75" hidden="false" customHeight="false" outlineLevel="0" collapsed="false">
      <c r="A449" s="18" t="n">
        <f aca="false">A448+0.25</f>
        <v>7.5</v>
      </c>
      <c r="B449" s="18" t="n">
        <f aca="false">B448+0.25</f>
        <v>7.5</v>
      </c>
      <c r="C449" s="18" t="n">
        <v>33.7</v>
      </c>
      <c r="D449" s="18" t="n">
        <v>-95</v>
      </c>
      <c r="E449" s="18" t="n">
        <v>35</v>
      </c>
      <c r="F449" s="18" t="n">
        <f aca="false">E449*0.5144</f>
        <v>18.004</v>
      </c>
      <c r="G449" s="22" t="e">
        <f aca="false">arclethnm(C448,D448,C449,D449)/6</f>
        <v>#NAME?</v>
      </c>
      <c r="H449" s="22" t="e">
        <f aca="false">G449*0.5144</f>
        <v>#NAME?</v>
      </c>
      <c r="I449" s="18" t="n">
        <v>0</v>
      </c>
    </row>
    <row r="450" customFormat="false" ht="12.75" hidden="false" customHeight="false" outlineLevel="0" collapsed="false">
      <c r="A450" s="18" t="n">
        <f aca="false">A449+0.25</f>
        <v>7.75</v>
      </c>
      <c r="B450" s="18" t="n">
        <f aca="false">B449+0.25</f>
        <v>7.75</v>
      </c>
      <c r="C450" s="18" t="n">
        <v>35.5</v>
      </c>
      <c r="D450" s="18" t="n">
        <v>-95.2</v>
      </c>
      <c r="E450" s="18" t="n">
        <v>30</v>
      </c>
      <c r="F450" s="18" t="n">
        <f aca="false">E450*0.5144</f>
        <v>15.432</v>
      </c>
      <c r="G450" s="22" t="e">
        <f aca="false">arclethnm(C449,D449,C450,D450)/6</f>
        <v>#NAME?</v>
      </c>
      <c r="H450" s="22" t="e">
        <f aca="false">G450*0.5144</f>
        <v>#NAME?</v>
      </c>
      <c r="I450" s="18" t="n">
        <v>0</v>
      </c>
    </row>
    <row r="451" customFormat="false" ht="12.75" hidden="false" customHeight="false" outlineLevel="0" collapsed="false">
      <c r="A451" s="0"/>
      <c r="B451" s="0"/>
      <c r="C451" s="0"/>
      <c r="D451" s="0"/>
      <c r="E451" s="0"/>
      <c r="F451" s="0"/>
      <c r="G451" s="22"/>
      <c r="H451" s="22"/>
      <c r="I451" s="0"/>
    </row>
    <row r="452" customFormat="false" ht="12.75" hidden="false" customHeight="false" outlineLevel="0" collapsed="false">
      <c r="A452" s="0"/>
      <c r="B452" s="0"/>
      <c r="C452" s="0"/>
      <c r="D452" s="0"/>
      <c r="E452" s="0"/>
      <c r="F452" s="0"/>
      <c r="G452" s="22"/>
      <c r="H452" s="22"/>
      <c r="I452" s="0"/>
    </row>
    <row r="453" customFormat="false" ht="12.75" hidden="false" customHeight="false" outlineLevel="0" collapsed="false">
      <c r="A453" s="0"/>
      <c r="B453" s="18" t="n">
        <v>1919</v>
      </c>
      <c r="C453" s="0"/>
      <c r="D453" s="0"/>
      <c r="E453" s="0"/>
      <c r="F453" s="0"/>
      <c r="G453" s="22"/>
      <c r="H453" s="22"/>
      <c r="I453" s="0"/>
    </row>
    <row r="454" customFormat="false" ht="12.75" hidden="false" customHeight="false" outlineLevel="0" collapsed="false">
      <c r="A454" s="18" t="n">
        <v>1</v>
      </c>
      <c r="B454" s="18" t="n">
        <v>1.5</v>
      </c>
      <c r="C454" s="18" t="n">
        <v>16</v>
      </c>
      <c r="D454" s="18" t="n">
        <v>-61</v>
      </c>
      <c r="E454" s="18" t="n">
        <v>25</v>
      </c>
      <c r="F454" s="18" t="n">
        <f aca="false">E454*0.5144</f>
        <v>12.86</v>
      </c>
      <c r="G454" s="22"/>
      <c r="H454" s="22"/>
      <c r="I454" s="18" t="n">
        <v>0</v>
      </c>
    </row>
    <row r="455" customFormat="false" ht="12.75" hidden="false" customHeight="false" outlineLevel="0" collapsed="false">
      <c r="A455" s="18" t="n">
        <f aca="false">B455-0.5</f>
        <v>1.25</v>
      </c>
      <c r="B455" s="18" t="n">
        <f aca="false">B454+0.25</f>
        <v>1.75</v>
      </c>
      <c r="C455" s="18" t="n">
        <v>16.3</v>
      </c>
      <c r="D455" s="18" t="n">
        <v>-62.3</v>
      </c>
      <c r="E455" s="18" t="n">
        <v>30</v>
      </c>
      <c r="F455" s="18" t="n">
        <f aca="false">E455*0.5144</f>
        <v>15.432</v>
      </c>
      <c r="G455" s="22" t="e">
        <f aca="false">arclethnm(C454,D454,C455,D455)/6</f>
        <v>#NAME?</v>
      </c>
      <c r="H455" s="22" t="e">
        <f aca="false">G455*0.5144</f>
        <v>#NAME?</v>
      </c>
      <c r="I455" s="18" t="n">
        <v>0</v>
      </c>
    </row>
    <row r="456" customFormat="false" ht="12.75" hidden="false" customHeight="false" outlineLevel="0" collapsed="false">
      <c r="A456" s="18" t="n">
        <f aca="false">B456-0.5</f>
        <v>1.5</v>
      </c>
      <c r="B456" s="18" t="n">
        <f aca="false">B455+0.25</f>
        <v>2</v>
      </c>
      <c r="C456" s="18" t="n">
        <v>16.7</v>
      </c>
      <c r="D456" s="18" t="n">
        <v>-63.6</v>
      </c>
      <c r="E456" s="18" t="n">
        <v>30</v>
      </c>
      <c r="F456" s="18" t="n">
        <f aca="false">E456*0.5144</f>
        <v>15.432</v>
      </c>
      <c r="G456" s="22" t="e">
        <f aca="false">arclethnm(C455,D455,C456,D456)/6</f>
        <v>#NAME?</v>
      </c>
      <c r="H456" s="22" t="e">
        <f aca="false">G456*0.5144</f>
        <v>#NAME?</v>
      </c>
      <c r="I456" s="18" t="n">
        <v>0</v>
      </c>
    </row>
    <row r="457" customFormat="false" ht="12.75" hidden="false" customHeight="false" outlineLevel="0" collapsed="false">
      <c r="A457" s="18" t="n">
        <f aca="false">B457-0.5</f>
        <v>1.75</v>
      </c>
      <c r="B457" s="18" t="n">
        <f aca="false">B456+0.25</f>
        <v>2.25</v>
      </c>
      <c r="C457" s="18" t="n">
        <v>17.1</v>
      </c>
      <c r="D457" s="18" t="n">
        <v>-64.8</v>
      </c>
      <c r="E457" s="18" t="n">
        <v>35</v>
      </c>
      <c r="F457" s="18" t="n">
        <f aca="false">E457*0.5144</f>
        <v>18.004</v>
      </c>
      <c r="G457" s="22" t="e">
        <f aca="false">arclethnm(C456,D456,C457,D457)/6</f>
        <v>#NAME?</v>
      </c>
      <c r="H457" s="22" t="e">
        <f aca="false">G457*0.5144</f>
        <v>#NAME?</v>
      </c>
      <c r="I457" s="18" t="n">
        <v>0</v>
      </c>
    </row>
    <row r="458" customFormat="false" ht="12.75" hidden="false" customHeight="false" outlineLevel="0" collapsed="false">
      <c r="A458" s="18" t="n">
        <f aca="false">B458-0.5</f>
        <v>2</v>
      </c>
      <c r="B458" s="18" t="n">
        <f aca="false">B457+0.25</f>
        <v>2.5</v>
      </c>
      <c r="C458" s="18" t="n">
        <v>17.5</v>
      </c>
      <c r="D458" s="18" t="n">
        <v>-66</v>
      </c>
      <c r="E458" s="18" t="n">
        <v>40</v>
      </c>
      <c r="F458" s="18" t="n">
        <f aca="false">E458*0.5144</f>
        <v>20.576</v>
      </c>
      <c r="G458" s="22" t="e">
        <f aca="false">arclethnm(C457,D457,C458,D458)/6</f>
        <v>#NAME?</v>
      </c>
      <c r="H458" s="22" t="e">
        <f aca="false">G458*0.5144</f>
        <v>#NAME?</v>
      </c>
      <c r="I458" s="18" t="n">
        <v>0</v>
      </c>
    </row>
    <row r="459" customFormat="false" ht="12.75" hidden="false" customHeight="false" outlineLevel="0" collapsed="false">
      <c r="A459" s="18" t="n">
        <f aca="false">B459-0.5</f>
        <v>2.25</v>
      </c>
      <c r="B459" s="18" t="n">
        <f aca="false">B458+0.25</f>
        <v>2.75</v>
      </c>
      <c r="C459" s="18" t="n">
        <v>18</v>
      </c>
      <c r="D459" s="18" t="n">
        <v>-67</v>
      </c>
      <c r="E459" s="18" t="n">
        <v>45</v>
      </c>
      <c r="F459" s="18" t="n">
        <f aca="false">E459*0.5144</f>
        <v>23.148</v>
      </c>
      <c r="G459" s="22" t="e">
        <f aca="false">arclethnm(C458,D458,C459,D459)/6</f>
        <v>#NAME?</v>
      </c>
      <c r="H459" s="22" t="e">
        <f aca="false">G459*0.5144</f>
        <v>#NAME?</v>
      </c>
      <c r="I459" s="18" t="n">
        <v>0</v>
      </c>
    </row>
    <row r="460" customFormat="false" ht="12.75" hidden="false" customHeight="false" outlineLevel="0" collapsed="false">
      <c r="A460" s="18" t="n">
        <f aca="false">B460-0.5</f>
        <v>2.5</v>
      </c>
      <c r="B460" s="18" t="n">
        <f aca="false">B459+0.25</f>
        <v>3</v>
      </c>
      <c r="C460" s="18" t="n">
        <v>18.6</v>
      </c>
      <c r="D460" s="18" t="n">
        <v>-68</v>
      </c>
      <c r="E460" s="18" t="n">
        <v>45</v>
      </c>
      <c r="F460" s="18" t="n">
        <f aca="false">E460*0.5144</f>
        <v>23.148</v>
      </c>
      <c r="G460" s="22" t="e">
        <f aca="false">arclethnm(C459,D459,C460,D460)/6</f>
        <v>#NAME?</v>
      </c>
      <c r="H460" s="22" t="e">
        <f aca="false">G460*0.5144</f>
        <v>#NAME?</v>
      </c>
      <c r="I460" s="18" t="n">
        <v>0</v>
      </c>
    </row>
    <row r="461" customFormat="false" ht="12.75" hidden="false" customHeight="false" outlineLevel="0" collapsed="false">
      <c r="A461" s="18" t="n">
        <f aca="false">B461-0.5</f>
        <v>2.75</v>
      </c>
      <c r="B461" s="18" t="n">
        <f aca="false">B460+0.25</f>
        <v>3.25</v>
      </c>
      <c r="C461" s="18" t="n">
        <v>19.1</v>
      </c>
      <c r="D461" s="18" t="n">
        <v>-69</v>
      </c>
      <c r="E461" s="18" t="n">
        <v>40</v>
      </c>
      <c r="F461" s="18" t="n">
        <f aca="false">E461*0.5144</f>
        <v>20.576</v>
      </c>
      <c r="G461" s="22" t="e">
        <f aca="false">arclethnm(C460,D460,C461,D461)/6</f>
        <v>#NAME?</v>
      </c>
      <c r="H461" s="22" t="e">
        <f aca="false">G461*0.5144</f>
        <v>#NAME?</v>
      </c>
      <c r="I461" s="18" t="n">
        <v>0</v>
      </c>
    </row>
    <row r="462" customFormat="false" ht="12.75" hidden="false" customHeight="false" outlineLevel="0" collapsed="false">
      <c r="A462" s="18" t="n">
        <f aca="false">B462-0.5</f>
        <v>3</v>
      </c>
      <c r="B462" s="18" t="n">
        <f aca="false">B461+0.25</f>
        <v>3.5</v>
      </c>
      <c r="C462" s="18" t="n">
        <v>19.5</v>
      </c>
      <c r="D462" s="18" t="n">
        <v>-70</v>
      </c>
      <c r="E462" s="18" t="n">
        <v>35</v>
      </c>
      <c r="F462" s="18" t="n">
        <f aca="false">E462*0.5144</f>
        <v>18.004</v>
      </c>
      <c r="G462" s="22" t="e">
        <f aca="false">arclethnm(C461,D461,C462,D462)/6</f>
        <v>#NAME?</v>
      </c>
      <c r="H462" s="22" t="e">
        <f aca="false">G462*0.5144</f>
        <v>#NAME?</v>
      </c>
      <c r="I462" s="18" t="n">
        <v>0</v>
      </c>
    </row>
    <row r="463" customFormat="false" ht="12.75" hidden="false" customHeight="false" outlineLevel="0" collapsed="false">
      <c r="A463" s="18" t="n">
        <f aca="false">B463-0.5</f>
        <v>3.25</v>
      </c>
      <c r="B463" s="18" t="n">
        <f aca="false">B462+0.25</f>
        <v>3.75</v>
      </c>
      <c r="C463" s="18" t="n">
        <v>19.8</v>
      </c>
      <c r="D463" s="18" t="n">
        <v>-70.8</v>
      </c>
      <c r="E463" s="18" t="n">
        <v>35</v>
      </c>
      <c r="F463" s="18" t="n">
        <f aca="false">E463*0.5144</f>
        <v>18.004</v>
      </c>
      <c r="G463" s="22" t="e">
        <f aca="false">arclethnm(C462,D462,C463,D463)/6</f>
        <v>#NAME?</v>
      </c>
      <c r="H463" s="22" t="e">
        <f aca="false">G463*0.5144</f>
        <v>#NAME?</v>
      </c>
      <c r="I463" s="18" t="n">
        <v>0</v>
      </c>
    </row>
    <row r="464" customFormat="false" ht="12.75" hidden="false" customHeight="false" outlineLevel="0" collapsed="false">
      <c r="A464" s="18" t="n">
        <f aca="false">B464-0.5</f>
        <v>3.5</v>
      </c>
      <c r="B464" s="18" t="n">
        <f aca="false">B463+0.25</f>
        <v>4</v>
      </c>
      <c r="C464" s="18" t="n">
        <v>20</v>
      </c>
      <c r="D464" s="18" t="n">
        <v>-71.6</v>
      </c>
      <c r="E464" s="18" t="n">
        <v>35</v>
      </c>
      <c r="F464" s="18" t="n">
        <f aca="false">E464*0.5144</f>
        <v>18.004</v>
      </c>
      <c r="G464" s="22" t="e">
        <f aca="false">arclethnm(C463,D463,C464,D464)/6</f>
        <v>#NAME?</v>
      </c>
      <c r="H464" s="22" t="e">
        <f aca="false">G464*0.5144</f>
        <v>#NAME?</v>
      </c>
      <c r="I464" s="18" t="n">
        <v>0</v>
      </c>
    </row>
    <row r="465" customFormat="false" ht="12.75" hidden="false" customHeight="false" outlineLevel="0" collapsed="false">
      <c r="A465" s="18" t="n">
        <f aca="false">B465-0.5</f>
        <v>3.75</v>
      </c>
      <c r="B465" s="18" t="n">
        <f aca="false">B464+0.25</f>
        <v>4.25</v>
      </c>
      <c r="C465" s="18" t="n">
        <v>20.2</v>
      </c>
      <c r="D465" s="18" t="n">
        <v>-72.2</v>
      </c>
      <c r="E465" s="18" t="n">
        <v>35</v>
      </c>
      <c r="F465" s="18" t="n">
        <f aca="false">E465*0.5144</f>
        <v>18.004</v>
      </c>
      <c r="G465" s="22" t="e">
        <f aca="false">arclethnm(C464,D464,C465,D465)/6</f>
        <v>#NAME?</v>
      </c>
      <c r="H465" s="22" t="e">
        <f aca="false">G465*0.5144</f>
        <v>#NAME?</v>
      </c>
      <c r="I465" s="18" t="n">
        <v>0</v>
      </c>
    </row>
    <row r="466" customFormat="false" ht="12.75" hidden="false" customHeight="false" outlineLevel="0" collapsed="false">
      <c r="A466" s="18" t="n">
        <f aca="false">B466-0.5</f>
        <v>4</v>
      </c>
      <c r="B466" s="18" t="n">
        <f aca="false">B465+0.25</f>
        <v>4.5</v>
      </c>
      <c r="C466" s="18" t="n">
        <v>20.5</v>
      </c>
      <c r="D466" s="18" t="n">
        <v>-72.5</v>
      </c>
      <c r="E466" s="18" t="n">
        <v>35</v>
      </c>
      <c r="F466" s="18" t="n">
        <f aca="false">E466*0.5144</f>
        <v>18.004</v>
      </c>
      <c r="G466" s="22" t="e">
        <f aca="false">arclethnm(C465,D465,C466,D466)/6</f>
        <v>#NAME?</v>
      </c>
      <c r="H466" s="22" t="e">
        <f aca="false">G466*0.5144</f>
        <v>#NAME?</v>
      </c>
      <c r="I466" s="18" t="n">
        <v>0</v>
      </c>
    </row>
    <row r="467" customFormat="false" ht="12.75" hidden="false" customHeight="false" outlineLevel="0" collapsed="false">
      <c r="A467" s="18" t="n">
        <f aca="false">B467-0.5</f>
        <v>4.25</v>
      </c>
      <c r="B467" s="18" t="n">
        <f aca="false">B466+0.25</f>
        <v>4.75</v>
      </c>
      <c r="C467" s="18" t="n">
        <v>20.9</v>
      </c>
      <c r="D467" s="18" t="n">
        <v>-72.6</v>
      </c>
      <c r="E467" s="18" t="n">
        <v>35</v>
      </c>
      <c r="F467" s="18" t="n">
        <f aca="false">E467*0.5144</f>
        <v>18.004</v>
      </c>
      <c r="G467" s="22" t="e">
        <f aca="false">arclethnm(C466,D466,C467,D467)/6</f>
        <v>#NAME?</v>
      </c>
      <c r="H467" s="22" t="e">
        <f aca="false">G467*0.5144</f>
        <v>#NAME?</v>
      </c>
      <c r="I467" s="18" t="n">
        <v>0</v>
      </c>
    </row>
    <row r="468" customFormat="false" ht="12.75" hidden="false" customHeight="false" outlineLevel="0" collapsed="false">
      <c r="A468" s="18" t="n">
        <f aca="false">B468-0.5</f>
        <v>4.5</v>
      </c>
      <c r="B468" s="18" t="n">
        <f aca="false">B467+0.25</f>
        <v>5</v>
      </c>
      <c r="C468" s="18" t="n">
        <v>21.4</v>
      </c>
      <c r="D468" s="18" t="n">
        <v>-72.6</v>
      </c>
      <c r="E468" s="18" t="n">
        <v>40</v>
      </c>
      <c r="F468" s="18" t="n">
        <f aca="false">E468*0.5144</f>
        <v>20.576</v>
      </c>
      <c r="G468" s="22" t="e">
        <f aca="false">arclethnm(C467,D467,C468,D468)/6</f>
        <v>#NAME?</v>
      </c>
      <c r="H468" s="22" t="e">
        <f aca="false">G468*0.5144</f>
        <v>#NAME?</v>
      </c>
      <c r="I468" s="18" t="n">
        <v>0</v>
      </c>
    </row>
    <row r="469" customFormat="false" ht="12.75" hidden="false" customHeight="false" outlineLevel="0" collapsed="false">
      <c r="A469" s="18" t="n">
        <f aca="false">B469-0.5</f>
        <v>4.75</v>
      </c>
      <c r="B469" s="18" t="n">
        <f aca="false">B468+0.25</f>
        <v>5.25</v>
      </c>
      <c r="C469" s="18" t="n">
        <v>21.8</v>
      </c>
      <c r="D469" s="18" t="n">
        <v>-72.7</v>
      </c>
      <c r="E469" s="18" t="n">
        <v>45</v>
      </c>
      <c r="F469" s="18" t="n">
        <f aca="false">E469*0.5144</f>
        <v>23.148</v>
      </c>
      <c r="G469" s="22" t="e">
        <f aca="false">arclethnm(C468,D468,C469,D469)/6</f>
        <v>#NAME?</v>
      </c>
      <c r="H469" s="22" t="e">
        <f aca="false">G469*0.5144</f>
        <v>#NAME?</v>
      </c>
      <c r="I469" s="18" t="n">
        <v>0</v>
      </c>
    </row>
    <row r="470" customFormat="false" ht="12.75" hidden="false" customHeight="false" outlineLevel="0" collapsed="false">
      <c r="A470" s="18" t="n">
        <f aca="false">B470-0.5</f>
        <v>5</v>
      </c>
      <c r="B470" s="18" t="n">
        <f aca="false">B469+0.25</f>
        <v>5.5</v>
      </c>
      <c r="C470" s="18" t="n">
        <v>22.2</v>
      </c>
      <c r="D470" s="18" t="n">
        <v>-72.8</v>
      </c>
      <c r="E470" s="18" t="n">
        <v>50</v>
      </c>
      <c r="F470" s="18" t="n">
        <f aca="false">E470*0.5144</f>
        <v>25.72</v>
      </c>
      <c r="G470" s="22" t="e">
        <f aca="false">arclethnm(C469,D469,C470,D470)/6</f>
        <v>#NAME?</v>
      </c>
      <c r="H470" s="22" t="e">
        <f aca="false">G470*0.5144</f>
        <v>#NAME?</v>
      </c>
      <c r="I470" s="18" t="n">
        <v>0</v>
      </c>
    </row>
    <row r="471" customFormat="false" ht="12.75" hidden="false" customHeight="false" outlineLevel="0" collapsed="false">
      <c r="A471" s="18" t="n">
        <f aca="false">B471-0.5</f>
        <v>5.25</v>
      </c>
      <c r="B471" s="18" t="n">
        <f aca="false">B470+0.25</f>
        <v>5.75</v>
      </c>
      <c r="C471" s="18" t="n">
        <v>22.5</v>
      </c>
      <c r="D471" s="18" t="n">
        <v>-73.1</v>
      </c>
      <c r="E471" s="18" t="n">
        <v>55</v>
      </c>
      <c r="F471" s="18" t="n">
        <f aca="false">E471*0.5144</f>
        <v>28.292</v>
      </c>
      <c r="G471" s="22" t="e">
        <f aca="false">arclethnm(C470,D470,C471,D471)/6</f>
        <v>#NAME?</v>
      </c>
      <c r="H471" s="22" t="e">
        <f aca="false">G471*0.5144</f>
        <v>#NAME?</v>
      </c>
      <c r="I471" s="18" t="n">
        <v>0</v>
      </c>
    </row>
    <row r="472" customFormat="false" ht="12.75" hidden="false" customHeight="false" outlineLevel="0" collapsed="false">
      <c r="A472" s="18" t="n">
        <f aca="false">B472-0.5</f>
        <v>5.5</v>
      </c>
      <c r="B472" s="18" t="n">
        <f aca="false">B471+0.25</f>
        <v>6</v>
      </c>
      <c r="C472" s="18" t="n">
        <v>22.8</v>
      </c>
      <c r="D472" s="18" t="n">
        <v>-73.5</v>
      </c>
      <c r="E472" s="18" t="n">
        <v>60</v>
      </c>
      <c r="F472" s="18" t="n">
        <f aca="false">E472*0.5144</f>
        <v>30.864</v>
      </c>
      <c r="G472" s="22" t="e">
        <f aca="false">arclethnm(C471,D471,C472,D472)/6</f>
        <v>#NAME?</v>
      </c>
      <c r="H472" s="22" t="e">
        <f aca="false">G472*0.5144</f>
        <v>#NAME?</v>
      </c>
      <c r="I472" s="18" t="n">
        <v>0</v>
      </c>
    </row>
    <row r="473" customFormat="false" ht="12.75" hidden="false" customHeight="false" outlineLevel="0" collapsed="false">
      <c r="A473" s="18" t="n">
        <f aca="false">B473-0.5</f>
        <v>5.75</v>
      </c>
      <c r="B473" s="18" t="n">
        <f aca="false">B472+0.25</f>
        <v>6.25</v>
      </c>
      <c r="C473" s="18" t="n">
        <v>23</v>
      </c>
      <c r="D473" s="18" t="n">
        <v>-74</v>
      </c>
      <c r="E473" s="18" t="n">
        <v>65</v>
      </c>
      <c r="F473" s="18" t="n">
        <f aca="false">E473*0.5144</f>
        <v>33.436</v>
      </c>
      <c r="G473" s="22" t="e">
        <f aca="false">arclethnm(C472,D472,C473,D473)/6</f>
        <v>#NAME?</v>
      </c>
      <c r="H473" s="22" t="e">
        <f aca="false">G473*0.5144</f>
        <v>#NAME?</v>
      </c>
      <c r="I473" s="18" t="n">
        <v>0</v>
      </c>
    </row>
    <row r="474" customFormat="false" ht="12.75" hidden="false" customHeight="false" outlineLevel="0" collapsed="false">
      <c r="A474" s="18" t="n">
        <f aca="false">B474-0.5</f>
        <v>6</v>
      </c>
      <c r="B474" s="18" t="n">
        <f aca="false">B473+0.25</f>
        <v>6.5</v>
      </c>
      <c r="C474" s="18" t="n">
        <v>23.2</v>
      </c>
      <c r="D474" s="18" t="n">
        <v>-74.5</v>
      </c>
      <c r="E474" s="18" t="n">
        <v>75</v>
      </c>
      <c r="F474" s="18" t="n">
        <f aca="false">E474*0.5144</f>
        <v>38.58</v>
      </c>
      <c r="G474" s="22" t="e">
        <f aca="false">arclethnm(C473,D473,C474,D474)/6</f>
        <v>#NAME?</v>
      </c>
      <c r="H474" s="22" t="e">
        <f aca="false">G474*0.5144</f>
        <v>#NAME?</v>
      </c>
      <c r="I474" s="18" t="n">
        <v>0</v>
      </c>
    </row>
    <row r="475" customFormat="false" ht="12.75" hidden="false" customHeight="false" outlineLevel="0" collapsed="false">
      <c r="A475" s="18" t="n">
        <f aca="false">B475-0.5</f>
        <v>6.25</v>
      </c>
      <c r="B475" s="18" t="n">
        <f aca="false">B474+0.25</f>
        <v>6.75</v>
      </c>
      <c r="C475" s="18" t="n">
        <v>23.4</v>
      </c>
      <c r="D475" s="18" t="n">
        <v>-75.1</v>
      </c>
      <c r="E475" s="18" t="n">
        <v>85</v>
      </c>
      <c r="F475" s="18" t="n">
        <f aca="false">E475*0.5144</f>
        <v>43.724</v>
      </c>
      <c r="G475" s="22" t="e">
        <f aca="false">arclethnm(C474,D474,C475,D475)/6</f>
        <v>#NAME?</v>
      </c>
      <c r="H475" s="22" t="e">
        <f aca="false">G475*0.5144</f>
        <v>#NAME?</v>
      </c>
      <c r="I475" s="18" t="n">
        <v>0</v>
      </c>
    </row>
    <row r="476" customFormat="false" ht="12.75" hidden="false" customHeight="false" outlineLevel="0" collapsed="false">
      <c r="A476" s="18" t="n">
        <f aca="false">B476-0.5</f>
        <v>6.5</v>
      </c>
      <c r="B476" s="18" t="n">
        <f aca="false">B475+0.25</f>
        <v>7</v>
      </c>
      <c r="C476" s="18" t="n">
        <v>23.5</v>
      </c>
      <c r="D476" s="18" t="n">
        <v>-75.8</v>
      </c>
      <c r="E476" s="18" t="n">
        <v>95</v>
      </c>
      <c r="F476" s="18" t="n">
        <f aca="false">E476*0.5144</f>
        <v>48.868</v>
      </c>
      <c r="G476" s="22" t="e">
        <f aca="false">arclethnm(C475,D475,C476,D476)/6</f>
        <v>#NAME?</v>
      </c>
      <c r="H476" s="22" t="e">
        <f aca="false">G476*0.5144</f>
        <v>#NAME?</v>
      </c>
      <c r="I476" s="18" t="n">
        <v>0</v>
      </c>
    </row>
    <row r="477" customFormat="false" ht="12.75" hidden="false" customHeight="false" outlineLevel="0" collapsed="false">
      <c r="A477" s="18" t="n">
        <f aca="false">B477-0.5</f>
        <v>6.75</v>
      </c>
      <c r="B477" s="18" t="n">
        <f aca="false">B476+0.25</f>
        <v>7.25</v>
      </c>
      <c r="C477" s="18" t="n">
        <v>23.6</v>
      </c>
      <c r="D477" s="18" t="n">
        <v>-76.5</v>
      </c>
      <c r="E477" s="18" t="n">
        <v>95</v>
      </c>
      <c r="F477" s="18" t="n">
        <f aca="false">E477*0.5144</f>
        <v>48.868</v>
      </c>
      <c r="G477" s="22" t="e">
        <f aca="false">arclethnm(C476,D476,C477,D477)/6</f>
        <v>#NAME?</v>
      </c>
      <c r="H477" s="22" t="e">
        <f aca="false">G477*0.5144</f>
        <v>#NAME?</v>
      </c>
      <c r="I477" s="18" t="n">
        <v>0</v>
      </c>
    </row>
    <row r="478" customFormat="false" ht="12.75" hidden="false" customHeight="false" outlineLevel="0" collapsed="false">
      <c r="A478" s="18" t="n">
        <f aca="false">B478-0.5</f>
        <v>7</v>
      </c>
      <c r="B478" s="18" t="n">
        <f aca="false">B477+0.25</f>
        <v>7.5</v>
      </c>
      <c r="C478" s="18" t="n">
        <v>23.7</v>
      </c>
      <c r="D478" s="18" t="n">
        <v>-77.3</v>
      </c>
      <c r="E478" s="18" t="n">
        <v>100</v>
      </c>
      <c r="F478" s="18" t="n">
        <f aca="false">E478*0.5144</f>
        <v>51.44</v>
      </c>
      <c r="G478" s="22" t="e">
        <f aca="false">arclethnm(C477,D477,C478,D478)/6</f>
        <v>#NAME?</v>
      </c>
      <c r="H478" s="22" t="e">
        <f aca="false">G478*0.5144</f>
        <v>#NAME?</v>
      </c>
      <c r="I478" s="18" t="n">
        <v>0</v>
      </c>
    </row>
    <row r="479" customFormat="false" ht="12.75" hidden="false" customHeight="false" outlineLevel="0" collapsed="false">
      <c r="A479" s="18" t="n">
        <f aca="false">B479-0.5</f>
        <v>7.25</v>
      </c>
      <c r="B479" s="18" t="n">
        <f aca="false">B478+0.25</f>
        <v>7.75</v>
      </c>
      <c r="C479" s="18" t="n">
        <v>23.8</v>
      </c>
      <c r="D479" s="18" t="n">
        <v>-78.1</v>
      </c>
      <c r="E479" s="18" t="n">
        <v>105</v>
      </c>
      <c r="F479" s="18" t="n">
        <f aca="false">E479*0.5144</f>
        <v>54.012</v>
      </c>
      <c r="G479" s="22" t="e">
        <f aca="false">arclethnm(C478,D478,C479,D479)/6</f>
        <v>#NAME?</v>
      </c>
      <c r="H479" s="22" t="e">
        <f aca="false">G479*0.5144</f>
        <v>#NAME?</v>
      </c>
      <c r="I479" s="18" t="n">
        <v>0</v>
      </c>
    </row>
    <row r="480" customFormat="false" ht="12.75" hidden="false" customHeight="false" outlineLevel="0" collapsed="false">
      <c r="A480" s="18" t="n">
        <f aca="false">B480-0.5</f>
        <v>7.5</v>
      </c>
      <c r="B480" s="18" t="n">
        <f aca="false">B479+0.25</f>
        <v>8</v>
      </c>
      <c r="C480" s="18" t="n">
        <v>23.9</v>
      </c>
      <c r="D480" s="18" t="n">
        <v>-78.9</v>
      </c>
      <c r="E480" s="18" t="n">
        <v>110</v>
      </c>
      <c r="F480" s="18" t="n">
        <f aca="false">E480*0.5144</f>
        <v>56.584</v>
      </c>
      <c r="G480" s="22" t="e">
        <f aca="false">arclethnm(C479,D479,C480,D480)/6</f>
        <v>#NAME?</v>
      </c>
      <c r="H480" s="22" t="e">
        <f aca="false">G480*0.5144</f>
        <v>#NAME?</v>
      </c>
      <c r="I480" s="18" t="n">
        <v>0</v>
      </c>
    </row>
    <row r="481" customFormat="false" ht="12.75" hidden="false" customHeight="false" outlineLevel="0" collapsed="false">
      <c r="A481" s="18" t="n">
        <f aca="false">B481-0.5</f>
        <v>7.75</v>
      </c>
      <c r="B481" s="18" t="n">
        <f aca="false">B480+0.25</f>
        <v>8.25</v>
      </c>
      <c r="C481" s="18" t="n">
        <v>24</v>
      </c>
      <c r="D481" s="18" t="n">
        <v>-79.7</v>
      </c>
      <c r="E481" s="18" t="n">
        <v>115</v>
      </c>
      <c r="F481" s="18" t="n">
        <f aca="false">E481*0.5144</f>
        <v>59.156</v>
      </c>
      <c r="G481" s="22" t="e">
        <f aca="false">arclethnm(C480,D480,C481,D481)/6</f>
        <v>#NAME?</v>
      </c>
      <c r="H481" s="22" t="e">
        <f aca="false">G481*0.5144</f>
        <v>#NAME?</v>
      </c>
      <c r="I481" s="18" t="n">
        <v>0</v>
      </c>
    </row>
    <row r="482" customFormat="false" ht="12.75" hidden="false" customHeight="false" outlineLevel="0" collapsed="false">
      <c r="A482" s="18" t="n">
        <f aca="false">B482-0.5</f>
        <v>8</v>
      </c>
      <c r="B482" s="18" t="n">
        <f aca="false">B481+0.25</f>
        <v>8.5</v>
      </c>
      <c r="C482" s="18" t="n">
        <v>24</v>
      </c>
      <c r="D482" s="18" t="n">
        <v>-80.5</v>
      </c>
      <c r="E482" s="18" t="n">
        <v>120</v>
      </c>
      <c r="F482" s="18" t="n">
        <f aca="false">E482*0.5144</f>
        <v>61.728</v>
      </c>
      <c r="G482" s="22" t="e">
        <f aca="false">arclethnm(C481,D481,C482,D482)/6</f>
        <v>#NAME?</v>
      </c>
      <c r="H482" s="22" t="e">
        <f aca="false">G482*0.5144</f>
        <v>#NAME?</v>
      </c>
      <c r="I482" s="18" t="n">
        <v>0</v>
      </c>
    </row>
    <row r="483" customFormat="false" ht="12.75" hidden="false" customHeight="false" outlineLevel="0" collapsed="false">
      <c r="A483" s="18" t="n">
        <f aca="false">B483-0.5</f>
        <v>8.25</v>
      </c>
      <c r="B483" s="18" t="n">
        <f aca="false">B482+0.25</f>
        <v>8.75</v>
      </c>
      <c r="C483" s="18" t="n">
        <v>24.1</v>
      </c>
      <c r="D483" s="18" t="n">
        <v>-81.3</v>
      </c>
      <c r="E483" s="18" t="n">
        <v>125</v>
      </c>
      <c r="F483" s="18" t="n">
        <f aca="false">E483*0.5144</f>
        <v>64.3</v>
      </c>
      <c r="G483" s="22" t="e">
        <f aca="false">arclethnm(C482,D482,C483,D483)/6</f>
        <v>#NAME?</v>
      </c>
      <c r="H483" s="22" t="e">
        <f aca="false">G483*0.5144</f>
        <v>#NAME?</v>
      </c>
      <c r="I483" s="18" t="n">
        <v>0</v>
      </c>
    </row>
    <row r="484" customFormat="false" ht="12.75" hidden="false" customHeight="false" outlineLevel="0" collapsed="false">
      <c r="A484" s="18" t="n">
        <f aca="false">B484-0.5</f>
        <v>8.5</v>
      </c>
      <c r="B484" s="18" t="n">
        <f aca="false">B483+0.25</f>
        <v>9</v>
      </c>
      <c r="C484" s="18" t="n">
        <v>24.3</v>
      </c>
      <c r="D484" s="18" t="n">
        <v>-82.1</v>
      </c>
      <c r="E484" s="18" t="n">
        <v>130</v>
      </c>
      <c r="F484" s="18" t="n">
        <f aca="false">E484*0.5144</f>
        <v>66.872</v>
      </c>
      <c r="G484" s="22" t="e">
        <f aca="false">arclethnm(C483,D483,C484,D484)/6</f>
        <v>#NAME?</v>
      </c>
      <c r="H484" s="22" t="e">
        <f aca="false">G484*0.5144</f>
        <v>#NAME?</v>
      </c>
      <c r="I484" s="18" t="n">
        <v>0</v>
      </c>
    </row>
    <row r="485" customFormat="false" ht="12.75" hidden="false" customHeight="false" outlineLevel="0" collapsed="false">
      <c r="A485" s="18" t="n">
        <f aca="false">B485-0.5</f>
        <v>8.75</v>
      </c>
      <c r="B485" s="18" t="n">
        <f aca="false">B484+0.25</f>
        <v>9.25</v>
      </c>
      <c r="C485" s="18" t="n">
        <v>24.6</v>
      </c>
      <c r="D485" s="18" t="n">
        <v>-82.8</v>
      </c>
      <c r="E485" s="18" t="n">
        <v>130</v>
      </c>
      <c r="F485" s="18" t="n">
        <f aca="false">E485*0.5144</f>
        <v>66.872</v>
      </c>
      <c r="G485" s="22" t="e">
        <f aca="false">arclethnm(C484,D484,C485,D485)/6</f>
        <v>#NAME?</v>
      </c>
      <c r="H485" s="22" t="e">
        <f aca="false">G485*0.5144</f>
        <v>#NAME?</v>
      </c>
      <c r="I485" s="18" t="n">
        <v>927</v>
      </c>
    </row>
    <row r="486" customFormat="false" ht="12.75" hidden="false" customHeight="false" outlineLevel="0" collapsed="false">
      <c r="A486" s="18" t="n">
        <f aca="false">B486-0.5</f>
        <v>9</v>
      </c>
      <c r="B486" s="18" t="n">
        <f aca="false">B485+0.25</f>
        <v>9.5</v>
      </c>
      <c r="C486" s="18" t="n">
        <v>24.6</v>
      </c>
      <c r="D486" s="18" t="n">
        <v>-82.9</v>
      </c>
      <c r="E486" s="18" t="n">
        <v>130</v>
      </c>
      <c r="F486" s="18" t="n">
        <f aca="false">E486*0.5144</f>
        <v>66.872</v>
      </c>
      <c r="G486" s="22" t="e">
        <f aca="false">arclethnm(C485,D485,C486,D486)/6</f>
        <v>#NAME?</v>
      </c>
      <c r="H486" s="22" t="e">
        <f aca="false">G486*0.5144</f>
        <v>#NAME?</v>
      </c>
      <c r="I486" s="18" t="n">
        <v>927</v>
      </c>
    </row>
    <row r="487" customFormat="false" ht="12.75" hidden="false" customHeight="false" outlineLevel="0" collapsed="false">
      <c r="A487" s="18" t="n">
        <f aca="false">B487-0.5</f>
        <v>9.25</v>
      </c>
      <c r="B487" s="18" t="n">
        <f aca="false">B486+0.25</f>
        <v>9.75</v>
      </c>
      <c r="C487" s="18" t="n">
        <v>24.8</v>
      </c>
      <c r="D487" s="18" t="n">
        <v>-83.4</v>
      </c>
      <c r="E487" s="18" t="n">
        <v>130</v>
      </c>
      <c r="F487" s="18" t="n">
        <f aca="false">E487*0.5144</f>
        <v>66.872</v>
      </c>
      <c r="G487" s="22" t="e">
        <f aca="false">arclethnm(C486,D486,C487,D487)/6</f>
        <v>#NAME?</v>
      </c>
      <c r="H487" s="22" t="e">
        <f aca="false">G487*0.5144</f>
        <v>#NAME?</v>
      </c>
      <c r="I487" s="18" t="n">
        <v>0</v>
      </c>
    </row>
    <row r="488" customFormat="false" ht="12.75" hidden="false" customHeight="false" outlineLevel="0" collapsed="false">
      <c r="A488" s="18" t="n">
        <f aca="false">B488-0.5</f>
        <v>9.5</v>
      </c>
      <c r="B488" s="18" t="n">
        <f aca="false">B487+0.25</f>
        <v>10</v>
      </c>
      <c r="C488" s="18" t="n">
        <v>24.9</v>
      </c>
      <c r="D488" s="18" t="n">
        <v>-84</v>
      </c>
      <c r="E488" s="18" t="n">
        <v>130</v>
      </c>
      <c r="F488" s="18" t="n">
        <f aca="false">E488*0.5144</f>
        <v>66.872</v>
      </c>
      <c r="G488" s="22" t="e">
        <f aca="false">arclethnm(C487,D487,C488,D488)/6</f>
        <v>#NAME?</v>
      </c>
      <c r="H488" s="22" t="e">
        <f aca="false">G488*0.5144</f>
        <v>#NAME?</v>
      </c>
      <c r="I488" s="18" t="n">
        <v>0</v>
      </c>
    </row>
    <row r="489" customFormat="false" ht="12.75" hidden="false" customHeight="false" outlineLevel="0" collapsed="false">
      <c r="A489" s="18" t="n">
        <f aca="false">B489-0.5</f>
        <v>9.75</v>
      </c>
      <c r="B489" s="18" t="n">
        <f aca="false">B488+0.25</f>
        <v>10.25</v>
      </c>
      <c r="C489" s="18" t="n">
        <v>25</v>
      </c>
      <c r="D489" s="18" t="n">
        <v>-84.5</v>
      </c>
      <c r="E489" s="18" t="n">
        <v>130</v>
      </c>
      <c r="F489" s="18" t="n">
        <f aca="false">E489*0.5144</f>
        <v>66.872</v>
      </c>
      <c r="G489" s="22" t="e">
        <f aca="false">arclethnm(C488,D488,C489,D489)/6</f>
        <v>#NAME?</v>
      </c>
      <c r="H489" s="22" t="e">
        <f aca="false">G489*0.5144</f>
        <v>#NAME?</v>
      </c>
      <c r="I489" s="18" t="n">
        <v>0</v>
      </c>
    </row>
    <row r="490" customFormat="false" ht="12.75" hidden="false" customHeight="false" outlineLevel="0" collapsed="false">
      <c r="A490" s="18" t="n">
        <f aca="false">B490-0.5</f>
        <v>10</v>
      </c>
      <c r="B490" s="18" t="n">
        <f aca="false">B489+0.25</f>
        <v>10.5</v>
      </c>
      <c r="C490" s="18" t="n">
        <v>25</v>
      </c>
      <c r="D490" s="18" t="n">
        <v>-85</v>
      </c>
      <c r="E490" s="18" t="n">
        <v>130</v>
      </c>
      <c r="F490" s="18" t="n">
        <f aca="false">E490*0.5144</f>
        <v>66.872</v>
      </c>
      <c r="G490" s="22" t="e">
        <f aca="false">arclethnm(C489,D489,C490,D490)/6</f>
        <v>#NAME?</v>
      </c>
      <c r="H490" s="22" t="e">
        <f aca="false">G490*0.5144</f>
        <v>#NAME?</v>
      </c>
      <c r="I490" s="18" t="n">
        <v>0</v>
      </c>
    </row>
    <row r="491" customFormat="false" ht="12.75" hidden="false" customHeight="false" outlineLevel="0" collapsed="false">
      <c r="A491" s="18" t="n">
        <f aca="false">B491-0.5</f>
        <v>10.25</v>
      </c>
      <c r="B491" s="18" t="n">
        <f aca="false">B490+0.25</f>
        <v>10.75</v>
      </c>
      <c r="C491" s="18" t="n">
        <v>25.1</v>
      </c>
      <c r="D491" s="18" t="n">
        <v>-85.5</v>
      </c>
      <c r="E491" s="18" t="n">
        <v>130</v>
      </c>
      <c r="F491" s="18" t="n">
        <f aca="false">E491*0.5144</f>
        <v>66.872</v>
      </c>
      <c r="G491" s="22" t="e">
        <f aca="false">arclethnm(C490,D490,C491,D491)/6</f>
        <v>#NAME?</v>
      </c>
      <c r="H491" s="22" t="e">
        <f aca="false">G491*0.5144</f>
        <v>#NAME?</v>
      </c>
      <c r="I491" s="18" t="n">
        <v>0</v>
      </c>
    </row>
    <row r="492" customFormat="false" ht="12.75" hidden="false" customHeight="false" outlineLevel="0" collapsed="false">
      <c r="A492" s="18" t="n">
        <f aca="false">B492-0.5</f>
        <v>10.5</v>
      </c>
      <c r="B492" s="18" t="n">
        <f aca="false">B491+0.25</f>
        <v>11</v>
      </c>
      <c r="C492" s="18" t="n">
        <v>25.3</v>
      </c>
      <c r="D492" s="18" t="n">
        <v>-86.1</v>
      </c>
      <c r="E492" s="18" t="n">
        <v>125</v>
      </c>
      <c r="F492" s="18" t="n">
        <f aca="false">E492*0.5144</f>
        <v>64.3</v>
      </c>
      <c r="G492" s="22" t="e">
        <f aca="false">arclethnm(C491,D491,C492,D492)/6</f>
        <v>#NAME?</v>
      </c>
      <c r="H492" s="22" t="e">
        <f aca="false">G492*0.5144</f>
        <v>#NAME?</v>
      </c>
      <c r="I492" s="18" t="n">
        <v>0</v>
      </c>
    </row>
    <row r="493" customFormat="false" ht="12.75" hidden="false" customHeight="false" outlineLevel="0" collapsed="false">
      <c r="A493" s="18" t="n">
        <f aca="false">B493-0.5</f>
        <v>10.75</v>
      </c>
      <c r="B493" s="18" t="n">
        <f aca="false">B492+0.25</f>
        <v>11.25</v>
      </c>
      <c r="C493" s="18" t="n">
        <v>25.6</v>
      </c>
      <c r="D493" s="18" t="n">
        <v>-86.7</v>
      </c>
      <c r="E493" s="18" t="n">
        <v>120</v>
      </c>
      <c r="F493" s="18" t="n">
        <f aca="false">E493*0.5144</f>
        <v>61.728</v>
      </c>
      <c r="G493" s="22" t="e">
        <f aca="false">arclethnm(C492,D492,C493,D493)/6</f>
        <v>#NAME?</v>
      </c>
      <c r="H493" s="22" t="e">
        <f aca="false">G493*0.5144</f>
        <v>#NAME?</v>
      </c>
      <c r="I493" s="18" t="n">
        <v>0</v>
      </c>
    </row>
    <row r="494" customFormat="false" ht="12.75" hidden="false" customHeight="false" outlineLevel="0" collapsed="false">
      <c r="A494" s="18" t="n">
        <f aca="false">B494-0.5</f>
        <v>11</v>
      </c>
      <c r="B494" s="18" t="n">
        <f aca="false">B493+0.25</f>
        <v>11.5</v>
      </c>
      <c r="C494" s="18" t="n">
        <v>25.9</v>
      </c>
      <c r="D494" s="18" t="n">
        <v>-87.3</v>
      </c>
      <c r="E494" s="18" t="n">
        <v>115</v>
      </c>
      <c r="F494" s="18" t="n">
        <f aca="false">E494*0.5144</f>
        <v>59.156</v>
      </c>
      <c r="G494" s="22" t="e">
        <f aca="false">arclethnm(C493,D493,C494,D494)/6</f>
        <v>#NAME?</v>
      </c>
      <c r="H494" s="22" t="e">
        <f aca="false">G494*0.5144</f>
        <v>#NAME?</v>
      </c>
      <c r="I494" s="18" t="n">
        <v>0</v>
      </c>
    </row>
    <row r="495" customFormat="false" ht="12.75" hidden="false" customHeight="false" outlineLevel="0" collapsed="false">
      <c r="A495" s="18" t="n">
        <f aca="false">B495-0.5</f>
        <v>11.25</v>
      </c>
      <c r="B495" s="18" t="n">
        <f aca="false">B494+0.25</f>
        <v>11.75</v>
      </c>
      <c r="C495" s="18" t="n">
        <v>26.2</v>
      </c>
      <c r="D495" s="18" t="n">
        <v>-88</v>
      </c>
      <c r="E495" s="18" t="n">
        <v>110</v>
      </c>
      <c r="F495" s="18" t="n">
        <f aca="false">E495*0.5144</f>
        <v>56.584</v>
      </c>
      <c r="G495" s="22" t="e">
        <f aca="false">arclethnm(C494,D494,C495,D495)/6</f>
        <v>#NAME?</v>
      </c>
      <c r="H495" s="22" t="e">
        <f aca="false">G495*0.5144</f>
        <v>#NAME?</v>
      </c>
      <c r="I495" s="18" t="n">
        <v>944</v>
      </c>
    </row>
    <row r="496" customFormat="false" ht="12.75" hidden="false" customHeight="false" outlineLevel="0" collapsed="false">
      <c r="A496" s="18" t="n">
        <f aca="false">B496-0.5</f>
        <v>11.5</v>
      </c>
      <c r="B496" s="18" t="n">
        <f aca="false">B495+0.25</f>
        <v>12</v>
      </c>
      <c r="C496" s="18" t="n">
        <v>26.4</v>
      </c>
      <c r="D496" s="18" t="n">
        <v>-89</v>
      </c>
      <c r="E496" s="18" t="n">
        <v>110</v>
      </c>
      <c r="F496" s="18" t="n">
        <f aca="false">E496*0.5144</f>
        <v>56.584</v>
      </c>
      <c r="G496" s="22" t="e">
        <f aca="false">arclethnm(C495,D495,C496,D496)/6</f>
        <v>#NAME?</v>
      </c>
      <c r="H496" s="22" t="e">
        <f aca="false">G496*0.5144</f>
        <v>#NAME?</v>
      </c>
      <c r="I496" s="18" t="n">
        <v>0</v>
      </c>
    </row>
    <row r="497" customFormat="false" ht="12.75" hidden="false" customHeight="false" outlineLevel="0" collapsed="false">
      <c r="A497" s="18" t="n">
        <f aca="false">B497-0.5</f>
        <v>11.75</v>
      </c>
      <c r="B497" s="18" t="n">
        <f aca="false">B496+0.25</f>
        <v>12.25</v>
      </c>
      <c r="C497" s="18" t="n">
        <v>26.5</v>
      </c>
      <c r="D497" s="18" t="n">
        <v>-90</v>
      </c>
      <c r="E497" s="18" t="n">
        <v>115</v>
      </c>
      <c r="F497" s="18" t="n">
        <f aca="false">E497*0.5144</f>
        <v>59.156</v>
      </c>
      <c r="G497" s="22" t="e">
        <f aca="false">arclethnm(C496,D496,C497,D497)/6</f>
        <v>#NAME?</v>
      </c>
      <c r="H497" s="22" t="e">
        <f aca="false">G497*0.5144</f>
        <v>#NAME?</v>
      </c>
      <c r="I497" s="18" t="n">
        <v>942</v>
      </c>
    </row>
    <row r="498" customFormat="false" ht="12.75" hidden="false" customHeight="false" outlineLevel="0" collapsed="false">
      <c r="A498" s="18" t="n">
        <f aca="false">B498-0.5</f>
        <v>12</v>
      </c>
      <c r="B498" s="18" t="n">
        <f aca="false">B497+0.25</f>
        <v>12.5</v>
      </c>
      <c r="C498" s="18" t="n">
        <v>26.5</v>
      </c>
      <c r="D498" s="18" t="n">
        <v>-91</v>
      </c>
      <c r="E498" s="18" t="n">
        <v>125</v>
      </c>
      <c r="F498" s="18" t="n">
        <f aca="false">E498*0.5144</f>
        <v>64.3</v>
      </c>
      <c r="G498" s="22" t="e">
        <f aca="false">arclethnm(C497,D497,C498,D498)/6</f>
        <v>#NAME?</v>
      </c>
      <c r="H498" s="22" t="e">
        <f aca="false">G498*0.5144</f>
        <v>#NAME?</v>
      </c>
      <c r="I498" s="18" t="n">
        <v>931</v>
      </c>
    </row>
    <row r="499" customFormat="false" ht="12.75" hidden="false" customHeight="false" outlineLevel="0" collapsed="false">
      <c r="A499" s="18" t="n">
        <f aca="false">B499-0.5</f>
        <v>12.25</v>
      </c>
      <c r="B499" s="18" t="n">
        <f aca="false">B498+0.25</f>
        <v>12.75</v>
      </c>
      <c r="C499" s="18" t="n">
        <v>26.5</v>
      </c>
      <c r="D499" s="18" t="n">
        <v>-92</v>
      </c>
      <c r="E499" s="18" t="n">
        <v>125</v>
      </c>
      <c r="F499" s="18" t="n">
        <f aca="false">E499*0.5144</f>
        <v>64.3</v>
      </c>
      <c r="G499" s="22" t="e">
        <f aca="false">arclethnm(C498,D498,C499,D499)/6</f>
        <v>#NAME?</v>
      </c>
      <c r="H499" s="22" t="e">
        <f aca="false">G499*0.5144</f>
        <v>#NAME?</v>
      </c>
      <c r="I499" s="18" t="n">
        <v>0</v>
      </c>
    </row>
    <row r="500" customFormat="false" ht="12.75" hidden="false" customHeight="false" outlineLevel="0" collapsed="false">
      <c r="A500" s="18" t="n">
        <f aca="false">B500-0.5</f>
        <v>12.5</v>
      </c>
      <c r="B500" s="18" t="n">
        <f aca="false">B499+0.25</f>
        <v>13</v>
      </c>
      <c r="C500" s="18" t="n">
        <v>26.6</v>
      </c>
      <c r="D500" s="18" t="n">
        <v>-92.9</v>
      </c>
      <c r="E500" s="18" t="n">
        <v>120</v>
      </c>
      <c r="F500" s="18" t="n">
        <f aca="false">E500*0.5144</f>
        <v>61.728</v>
      </c>
      <c r="G500" s="22" t="e">
        <f aca="false">arclethnm(C499,D499,C500,D500)/6</f>
        <v>#NAME?</v>
      </c>
      <c r="H500" s="22" t="e">
        <f aca="false">G500*0.5144</f>
        <v>#NAME?</v>
      </c>
      <c r="I500" s="18" t="n">
        <v>0</v>
      </c>
    </row>
    <row r="501" customFormat="false" ht="12.75" hidden="false" customHeight="false" outlineLevel="0" collapsed="false">
      <c r="A501" s="18" t="n">
        <f aca="false">B501-0.5</f>
        <v>12.75</v>
      </c>
      <c r="B501" s="18" t="n">
        <f aca="false">B500+0.25</f>
        <v>13.25</v>
      </c>
      <c r="C501" s="18" t="n">
        <v>26.7</v>
      </c>
      <c r="D501" s="18" t="n">
        <v>-93.8</v>
      </c>
      <c r="E501" s="18" t="n">
        <v>115</v>
      </c>
      <c r="F501" s="18" t="n">
        <f aca="false">E501*0.5144</f>
        <v>59.156</v>
      </c>
      <c r="G501" s="22" t="e">
        <f aca="false">arclethnm(C500,D500,C501,D501)/6</f>
        <v>#NAME?</v>
      </c>
      <c r="H501" s="22" t="e">
        <f aca="false">G501*0.5144</f>
        <v>#NAME?</v>
      </c>
      <c r="I501" s="18" t="n">
        <v>0</v>
      </c>
    </row>
    <row r="502" customFormat="false" ht="12.75" hidden="false" customHeight="false" outlineLevel="0" collapsed="false">
      <c r="A502" s="18" t="n">
        <f aca="false">B502-0.5</f>
        <v>13</v>
      </c>
      <c r="B502" s="18" t="n">
        <f aca="false">B501+0.25</f>
        <v>13.5</v>
      </c>
      <c r="C502" s="18" t="n">
        <v>26.8</v>
      </c>
      <c r="D502" s="18" t="n">
        <v>-94.6</v>
      </c>
      <c r="E502" s="18" t="n">
        <v>110</v>
      </c>
      <c r="F502" s="18" t="n">
        <f aca="false">E502*0.5144</f>
        <v>56.584</v>
      </c>
      <c r="G502" s="22" t="e">
        <f aca="false">arclethnm(C501,D501,C502,D502)/6</f>
        <v>#NAME?</v>
      </c>
      <c r="H502" s="22" t="e">
        <f aca="false">G502*0.5144</f>
        <v>#NAME?</v>
      </c>
      <c r="I502" s="18" t="n">
        <v>0</v>
      </c>
    </row>
    <row r="503" customFormat="false" ht="12.75" hidden="false" customHeight="false" outlineLevel="0" collapsed="false">
      <c r="A503" s="18" t="n">
        <f aca="false">B503-0.5</f>
        <v>13.25</v>
      </c>
      <c r="B503" s="18" t="n">
        <f aca="false">B502+0.25</f>
        <v>13.75</v>
      </c>
      <c r="C503" s="18" t="n">
        <v>27</v>
      </c>
      <c r="D503" s="18" t="n">
        <v>-95.5</v>
      </c>
      <c r="E503" s="18" t="n">
        <v>105</v>
      </c>
      <c r="F503" s="18" t="n">
        <f aca="false">E503*0.5144</f>
        <v>54.012</v>
      </c>
      <c r="G503" s="22" t="e">
        <f aca="false">arclethnm(C502,D502,C503,D503)/6</f>
        <v>#NAME?</v>
      </c>
      <c r="H503" s="22" t="e">
        <f aca="false">G503*0.5144</f>
        <v>#NAME?</v>
      </c>
      <c r="I503" s="18" t="n">
        <v>0</v>
      </c>
    </row>
    <row r="504" customFormat="false" ht="12.75" hidden="false" customHeight="false" outlineLevel="0" collapsed="false">
      <c r="A504" s="18" t="n">
        <f aca="false">B504-0.5</f>
        <v>13.5</v>
      </c>
      <c r="B504" s="18" t="n">
        <f aca="false">B503+0.25</f>
        <v>14</v>
      </c>
      <c r="C504" s="18" t="n">
        <v>27.2</v>
      </c>
      <c r="D504" s="18" t="n">
        <v>-96.6</v>
      </c>
      <c r="E504" s="18" t="n">
        <v>100</v>
      </c>
      <c r="F504" s="18" t="n">
        <f aca="false">E504*0.5144</f>
        <v>51.44</v>
      </c>
      <c r="G504" s="22" t="e">
        <f aca="false">arclethnm(C503,D503,C504,D504)/6</f>
        <v>#NAME?</v>
      </c>
      <c r="H504" s="22" t="e">
        <f aca="false">G504*0.5144</f>
        <v>#NAME?</v>
      </c>
      <c r="I504" s="18" t="n">
        <v>950</v>
      </c>
    </row>
    <row r="505" customFormat="false" ht="12.75" hidden="false" customHeight="false" outlineLevel="0" collapsed="false">
      <c r="A505" s="18" t="n">
        <f aca="false">B505-0.5</f>
        <v>13.75</v>
      </c>
      <c r="B505" s="18" t="n">
        <f aca="false">B504+0.25</f>
        <v>14.25</v>
      </c>
      <c r="C505" s="18" t="n">
        <v>27.2</v>
      </c>
      <c r="D505" s="18" t="n">
        <v>-97.3</v>
      </c>
      <c r="E505" s="18" t="n">
        <v>100</v>
      </c>
      <c r="F505" s="18" t="n">
        <f aca="false">E505*0.5144</f>
        <v>51.44</v>
      </c>
      <c r="G505" s="22" t="e">
        <f aca="false">arclethnm(C504,D504,C505,D505)/6</f>
        <v>#NAME?</v>
      </c>
      <c r="H505" s="22" t="e">
        <f aca="false">G505*0.5144</f>
        <v>#NAME?</v>
      </c>
      <c r="I505" s="18" t="n">
        <v>950</v>
      </c>
    </row>
    <row r="506" customFormat="false" ht="12.75" hidden="false" customHeight="false" outlineLevel="0" collapsed="false">
      <c r="A506" s="18" t="n">
        <f aca="false">B506-0.5</f>
        <v>14</v>
      </c>
      <c r="B506" s="18" t="n">
        <f aca="false">B505+0.25</f>
        <v>14.5</v>
      </c>
      <c r="C506" s="18" t="n">
        <v>27.4</v>
      </c>
      <c r="D506" s="18" t="n">
        <v>-98</v>
      </c>
      <c r="E506" s="18" t="n">
        <v>75</v>
      </c>
      <c r="F506" s="18" t="n">
        <f aca="false">E506*0.5144</f>
        <v>38.58</v>
      </c>
      <c r="G506" s="22" t="e">
        <f aca="false">arclethnm(C505,D505,C506,D506)/6</f>
        <v>#NAME?</v>
      </c>
      <c r="H506" s="22" t="e">
        <f aca="false">G506*0.5144</f>
        <v>#NAME?</v>
      </c>
      <c r="I506" s="18" t="n">
        <v>0</v>
      </c>
    </row>
    <row r="507" customFormat="false" ht="12.75" hidden="false" customHeight="false" outlineLevel="0" collapsed="false">
      <c r="A507" s="18" t="n">
        <f aca="false">B507-0.5</f>
        <v>14.25</v>
      </c>
      <c r="B507" s="18" t="n">
        <f aca="false">B506+0.25</f>
        <v>14.75</v>
      </c>
      <c r="C507" s="18" t="n">
        <v>27.8</v>
      </c>
      <c r="D507" s="18" t="n">
        <v>-99.5</v>
      </c>
      <c r="E507" s="18" t="n">
        <v>55</v>
      </c>
      <c r="F507" s="18" t="n">
        <f aca="false">E507*0.5144</f>
        <v>28.292</v>
      </c>
      <c r="G507" s="22" t="e">
        <f aca="false">arclethnm(C506,D506,C507,D507)/6</f>
        <v>#NAME?</v>
      </c>
      <c r="H507" s="22" t="e">
        <f aca="false">G507*0.5144</f>
        <v>#NAME?</v>
      </c>
      <c r="I507" s="18" t="n">
        <v>0</v>
      </c>
    </row>
    <row r="508" customFormat="false" ht="12.75" hidden="false" customHeight="false" outlineLevel="0" collapsed="false">
      <c r="A508" s="18" t="n">
        <f aca="false">B508-0.5</f>
        <v>14.5</v>
      </c>
      <c r="B508" s="18" t="n">
        <f aca="false">B507+0.25</f>
        <v>15</v>
      </c>
      <c r="C508" s="18" t="n">
        <v>28.2</v>
      </c>
      <c r="D508" s="18" t="n">
        <v>-101</v>
      </c>
      <c r="E508" s="18" t="n">
        <v>40</v>
      </c>
      <c r="F508" s="18" t="n">
        <f aca="false">E508*0.5144</f>
        <v>20.576</v>
      </c>
      <c r="G508" s="22" t="e">
        <f aca="false">arclethnm(C507,D507,C508,D508)/6</f>
        <v>#NAME?</v>
      </c>
      <c r="H508" s="22" t="e">
        <f aca="false">G508*0.5144</f>
        <v>#NAME?</v>
      </c>
      <c r="I508" s="18" t="n">
        <v>0</v>
      </c>
    </row>
    <row r="509" customFormat="false" ht="12.75" hidden="false" customHeight="false" outlineLevel="0" collapsed="false">
      <c r="A509" s="18" t="n">
        <f aca="false">B509-0.5</f>
        <v>14.75</v>
      </c>
      <c r="B509" s="18" t="n">
        <f aca="false">B508+0.25</f>
        <v>15.25</v>
      </c>
      <c r="C509" s="18" t="n">
        <v>28.9</v>
      </c>
      <c r="D509" s="18" t="n">
        <v>-102.4</v>
      </c>
      <c r="E509" s="18" t="n">
        <v>35</v>
      </c>
      <c r="F509" s="18" t="n">
        <f aca="false">E509*0.5144</f>
        <v>18.004</v>
      </c>
      <c r="G509" s="22" t="e">
        <f aca="false">arclethnm(C508,D508,C509,D509)/6</f>
        <v>#NAME?</v>
      </c>
      <c r="H509" s="22" t="e">
        <f aca="false">G509*0.5144</f>
        <v>#NAME?</v>
      </c>
      <c r="I509" s="18" t="n">
        <v>0</v>
      </c>
    </row>
    <row r="510" customFormat="false" ht="12.75" hidden="false" customHeight="false" outlineLevel="0" collapsed="false">
      <c r="A510" s="18" t="n">
        <f aca="false">B510-0.5</f>
        <v>15</v>
      </c>
      <c r="B510" s="18" t="n">
        <f aca="false">B509+0.25</f>
        <v>15.5</v>
      </c>
      <c r="C510" s="18" t="n">
        <v>29.7</v>
      </c>
      <c r="D510" s="18" t="n">
        <v>-103.8</v>
      </c>
      <c r="E510" s="18" t="n">
        <v>30</v>
      </c>
      <c r="F510" s="18" t="n">
        <f aca="false">E510*0.5144</f>
        <v>15.432</v>
      </c>
      <c r="G510" s="22" t="e">
        <f aca="false">arclethnm(C509,D509,C510,D510)/6</f>
        <v>#NAME?</v>
      </c>
      <c r="H510" s="22" t="e">
        <f aca="false">G510*0.5144</f>
        <v>#NAME?</v>
      </c>
      <c r="I510" s="18" t="n">
        <v>0</v>
      </c>
    </row>
    <row r="511" customFormat="false" ht="12.75" hidden="false" customHeight="false" outlineLevel="0" collapsed="false">
      <c r="A511" s="18" t="n">
        <f aca="false">B511-0.5</f>
        <v>15.25</v>
      </c>
      <c r="B511" s="18" t="n">
        <f aca="false">B510+0.25</f>
        <v>15.75</v>
      </c>
      <c r="C511" s="18" t="n">
        <v>30.6</v>
      </c>
      <c r="D511" s="18" t="n">
        <v>-105</v>
      </c>
      <c r="E511" s="18" t="n">
        <v>25</v>
      </c>
      <c r="F511" s="18" t="n">
        <f aca="false">E511*0.5144</f>
        <v>12.86</v>
      </c>
      <c r="G511" s="22" t="e">
        <f aca="false">arclethnm(C510,D510,C511,D511)/6</f>
        <v>#NAME?</v>
      </c>
      <c r="H511" s="22" t="e">
        <f aca="false">G511*0.5144</f>
        <v>#NAME?</v>
      </c>
      <c r="I511" s="18" t="n">
        <v>0</v>
      </c>
    </row>
    <row r="512" customFormat="false" ht="12.75" hidden="false" customHeight="false" outlineLevel="0" collapsed="false">
      <c r="A512" s="18" t="n">
        <f aca="false">B512-0.5</f>
        <v>15.5</v>
      </c>
      <c r="B512" s="18" t="n">
        <f aca="false">B511+0.25</f>
        <v>16</v>
      </c>
      <c r="C512" s="18" t="n">
        <v>31.5</v>
      </c>
      <c r="D512" s="18" t="n">
        <v>-106</v>
      </c>
      <c r="E512" s="18" t="n">
        <v>20</v>
      </c>
      <c r="F512" s="18" t="n">
        <f aca="false">E512*0.5144</f>
        <v>10.288</v>
      </c>
      <c r="G512" s="22" t="e">
        <f aca="false">arclethnm(C511,D511,C512,D512)/6</f>
        <v>#NAME?</v>
      </c>
      <c r="H512" s="22" t="e">
        <f aca="false">G512*0.5144</f>
        <v>#NAME?</v>
      </c>
      <c r="I512" s="18" t="n">
        <v>0</v>
      </c>
    </row>
    <row r="513" customFormat="false" ht="12.75" hidden="false" customHeight="false" outlineLevel="0" collapsed="false">
      <c r="A513" s="0"/>
      <c r="B513" s="0"/>
      <c r="C513" s="0"/>
      <c r="D513" s="0"/>
      <c r="E513" s="0"/>
      <c r="F513" s="0"/>
      <c r="G513" s="22"/>
      <c r="H513" s="22"/>
      <c r="I513" s="0"/>
    </row>
    <row r="514" customFormat="false" ht="12.75" hidden="false" customHeight="false" outlineLevel="0" collapsed="false">
      <c r="A514" s="0"/>
      <c r="B514" s="18" t="n">
        <v>1921</v>
      </c>
      <c r="C514" s="0"/>
      <c r="D514" s="0"/>
      <c r="E514" s="0"/>
      <c r="F514" s="0"/>
      <c r="G514" s="22"/>
      <c r="H514" s="22"/>
      <c r="I514" s="0"/>
    </row>
    <row r="515" customFormat="false" ht="12.75" hidden="false" customHeight="false" outlineLevel="0" collapsed="false">
      <c r="A515" s="18" t="n">
        <v>1</v>
      </c>
      <c r="B515" s="18" t="n">
        <v>1</v>
      </c>
      <c r="C515" s="18" t="n">
        <v>16.5</v>
      </c>
      <c r="D515" s="18" t="n">
        <v>-82.4</v>
      </c>
      <c r="E515" s="18" t="n">
        <v>30</v>
      </c>
      <c r="F515" s="18" t="n">
        <f aca="false">E515*0.5144</f>
        <v>15.432</v>
      </c>
      <c r="G515" s="22"/>
      <c r="H515" s="22"/>
      <c r="I515" s="18" t="n">
        <v>0</v>
      </c>
    </row>
    <row r="516" customFormat="false" ht="12.75" hidden="false" customHeight="false" outlineLevel="0" collapsed="false">
      <c r="A516" s="18" t="n">
        <f aca="false">A515+0.25</f>
        <v>1.25</v>
      </c>
      <c r="B516" s="18" t="n">
        <f aca="false">B515+0.25</f>
        <v>1.25</v>
      </c>
      <c r="C516" s="18" t="n">
        <v>16.5</v>
      </c>
      <c r="D516" s="18" t="n">
        <v>-83.2</v>
      </c>
      <c r="E516" s="18" t="n">
        <v>30</v>
      </c>
      <c r="F516" s="18" t="n">
        <f aca="false">E516*0.5144</f>
        <v>15.432</v>
      </c>
      <c r="G516" s="22" t="e">
        <f aca="false">arclethnm(C515,D515,C516,D516)/6</f>
        <v>#NAME?</v>
      </c>
      <c r="H516" s="22" t="e">
        <f aca="false">G516*0.5144</f>
        <v>#NAME?</v>
      </c>
      <c r="I516" s="18" t="n">
        <v>0</v>
      </c>
    </row>
    <row r="517" customFormat="false" ht="12.75" hidden="false" customHeight="false" outlineLevel="0" collapsed="false">
      <c r="A517" s="18" t="n">
        <f aca="false">A516+0.25</f>
        <v>1.5</v>
      </c>
      <c r="B517" s="18" t="n">
        <f aca="false">B516+0.25</f>
        <v>1.5</v>
      </c>
      <c r="C517" s="18" t="n">
        <v>16.5</v>
      </c>
      <c r="D517" s="18" t="n">
        <v>-84</v>
      </c>
      <c r="E517" s="18" t="n">
        <v>30</v>
      </c>
      <c r="F517" s="18" t="n">
        <f aca="false">E517*0.5144</f>
        <v>15.432</v>
      </c>
      <c r="G517" s="22" t="e">
        <f aca="false">arclethnm(C516,D516,C517,D517)/6</f>
        <v>#NAME?</v>
      </c>
      <c r="H517" s="22" t="e">
        <f aca="false">G517*0.5144</f>
        <v>#NAME?</v>
      </c>
      <c r="I517" s="18" t="n">
        <v>0</v>
      </c>
    </row>
    <row r="518" customFormat="false" ht="12.75" hidden="false" customHeight="false" outlineLevel="0" collapsed="false">
      <c r="A518" s="18" t="n">
        <f aca="false">A517+0.25</f>
        <v>1.75</v>
      </c>
      <c r="B518" s="18" t="n">
        <f aca="false">B517+0.25</f>
        <v>1.75</v>
      </c>
      <c r="C518" s="18" t="n">
        <v>16.5</v>
      </c>
      <c r="D518" s="18" t="n">
        <v>-84.7</v>
      </c>
      <c r="E518" s="18" t="n">
        <v>30</v>
      </c>
      <c r="F518" s="18" t="n">
        <f aca="false">E518*0.5144</f>
        <v>15.432</v>
      </c>
      <c r="G518" s="22" t="e">
        <f aca="false">arclethnm(C517,D517,C518,D518)/6</f>
        <v>#NAME?</v>
      </c>
      <c r="H518" s="22" t="e">
        <f aca="false">G518*0.5144</f>
        <v>#NAME?</v>
      </c>
      <c r="I518" s="18" t="n">
        <v>0</v>
      </c>
    </row>
    <row r="519" customFormat="false" ht="12.75" hidden="false" customHeight="false" outlineLevel="0" collapsed="false">
      <c r="A519" s="18" t="n">
        <f aca="false">A518+0.25</f>
        <v>2</v>
      </c>
      <c r="B519" s="18" t="n">
        <f aca="false">B518+0.25</f>
        <v>2</v>
      </c>
      <c r="C519" s="18" t="n">
        <v>16.5</v>
      </c>
      <c r="D519" s="18" t="n">
        <v>-85.3</v>
      </c>
      <c r="E519" s="18" t="n">
        <v>35</v>
      </c>
      <c r="F519" s="18" t="n">
        <f aca="false">E519*0.5144</f>
        <v>18.004</v>
      </c>
      <c r="G519" s="22" t="e">
        <f aca="false">arclethnm(C518,D518,C519,D519)/6</f>
        <v>#NAME?</v>
      </c>
      <c r="H519" s="22" t="e">
        <f aca="false">G519*0.5144</f>
        <v>#NAME?</v>
      </c>
      <c r="I519" s="18" t="n">
        <v>0</v>
      </c>
    </row>
    <row r="520" customFormat="false" ht="12.75" hidden="false" customHeight="false" outlineLevel="0" collapsed="false">
      <c r="A520" s="18" t="n">
        <f aca="false">A519+0.25</f>
        <v>2.25</v>
      </c>
      <c r="B520" s="18" t="n">
        <f aca="false">B519+0.25</f>
        <v>2.25</v>
      </c>
      <c r="C520" s="18" t="n">
        <v>16.7</v>
      </c>
      <c r="D520" s="18" t="n">
        <v>-86</v>
      </c>
      <c r="E520" s="18" t="n">
        <v>40</v>
      </c>
      <c r="F520" s="18" t="n">
        <f aca="false">E520*0.5144</f>
        <v>20.576</v>
      </c>
      <c r="G520" s="22" t="e">
        <f aca="false">arclethnm(C519,D519,C520,D520)/6</f>
        <v>#NAME?</v>
      </c>
      <c r="H520" s="22" t="e">
        <f aca="false">G520*0.5144</f>
        <v>#NAME?</v>
      </c>
      <c r="I520" s="18" t="n">
        <v>0</v>
      </c>
    </row>
    <row r="521" customFormat="false" ht="12.75" hidden="false" customHeight="false" outlineLevel="0" collapsed="false">
      <c r="A521" s="18" t="n">
        <f aca="false">A520+0.25</f>
        <v>2.5</v>
      </c>
      <c r="B521" s="18" t="n">
        <f aca="false">B520+0.25</f>
        <v>2.5</v>
      </c>
      <c r="C521" s="18" t="n">
        <v>17.1</v>
      </c>
      <c r="D521" s="18" t="n">
        <v>-86.7</v>
      </c>
      <c r="E521" s="18" t="n">
        <v>45</v>
      </c>
      <c r="F521" s="18" t="n">
        <f aca="false">E521*0.5144</f>
        <v>23.148</v>
      </c>
      <c r="G521" s="22" t="e">
        <f aca="false">arclethnm(C520,D520,C521,D521)/6</f>
        <v>#NAME?</v>
      </c>
      <c r="H521" s="22" t="e">
        <f aca="false">G521*0.5144</f>
        <v>#NAME?</v>
      </c>
      <c r="I521" s="18" t="n">
        <v>0</v>
      </c>
    </row>
    <row r="522" customFormat="false" ht="12.75" hidden="false" customHeight="false" outlineLevel="0" collapsed="false">
      <c r="A522" s="18" t="n">
        <f aca="false">A521+0.25</f>
        <v>2.75</v>
      </c>
      <c r="B522" s="18" t="n">
        <f aca="false">B521+0.25</f>
        <v>2.75</v>
      </c>
      <c r="C522" s="18" t="n">
        <v>17.7</v>
      </c>
      <c r="D522" s="18" t="n">
        <v>-87.7</v>
      </c>
      <c r="E522" s="18" t="n">
        <v>45</v>
      </c>
      <c r="F522" s="18" t="n">
        <f aca="false">E522*0.5144</f>
        <v>23.148</v>
      </c>
      <c r="G522" s="22" t="e">
        <f aca="false">arclethnm(C521,D521,C522,D522)/6</f>
        <v>#NAME?</v>
      </c>
      <c r="H522" s="22" t="e">
        <f aca="false">G522*0.5144</f>
        <v>#NAME?</v>
      </c>
      <c r="I522" s="18" t="n">
        <v>0</v>
      </c>
    </row>
    <row r="523" customFormat="false" ht="12.75" hidden="false" customHeight="false" outlineLevel="0" collapsed="false">
      <c r="A523" s="18" t="n">
        <f aca="false">A522+0.25</f>
        <v>3</v>
      </c>
      <c r="B523" s="18" t="n">
        <f aca="false">B522+0.25</f>
        <v>3</v>
      </c>
      <c r="C523" s="18" t="n">
        <v>18.7</v>
      </c>
      <c r="D523" s="18" t="n">
        <v>-89.1</v>
      </c>
      <c r="E523" s="18" t="n">
        <v>40</v>
      </c>
      <c r="F523" s="18" t="n">
        <f aca="false">E523*0.5144</f>
        <v>20.576</v>
      </c>
      <c r="G523" s="22" t="e">
        <f aca="false">arclethnm(C522,D522,C523,D523)/6</f>
        <v>#NAME?</v>
      </c>
      <c r="H523" s="22" t="e">
        <f aca="false">G523*0.5144</f>
        <v>#NAME?</v>
      </c>
      <c r="I523" s="18" t="n">
        <v>0</v>
      </c>
    </row>
    <row r="524" customFormat="false" ht="12.75" hidden="false" customHeight="false" outlineLevel="0" collapsed="false">
      <c r="A524" s="18" t="n">
        <f aca="false">A523+0.25</f>
        <v>3.25</v>
      </c>
      <c r="B524" s="18" t="n">
        <f aca="false">B523+0.25</f>
        <v>3.25</v>
      </c>
      <c r="C524" s="18" t="n">
        <v>19.6</v>
      </c>
      <c r="D524" s="18" t="n">
        <v>-90.6</v>
      </c>
      <c r="E524" s="18" t="n">
        <v>35</v>
      </c>
      <c r="F524" s="18" t="n">
        <f aca="false">E524*0.5144</f>
        <v>18.004</v>
      </c>
      <c r="G524" s="22" t="e">
        <f aca="false">arclethnm(C523,D523,C524,D524)/6</f>
        <v>#NAME?</v>
      </c>
      <c r="H524" s="22" t="e">
        <f aca="false">G524*0.5144</f>
        <v>#NAME?</v>
      </c>
      <c r="I524" s="18" t="n">
        <v>0</v>
      </c>
    </row>
    <row r="525" customFormat="false" ht="12.75" hidden="false" customHeight="false" outlineLevel="0" collapsed="false">
      <c r="A525" s="18" t="n">
        <f aca="false">A524+0.25</f>
        <v>3.5</v>
      </c>
      <c r="B525" s="18" t="n">
        <f aca="false">B524+0.25</f>
        <v>3.5</v>
      </c>
      <c r="C525" s="18" t="n">
        <v>20.3</v>
      </c>
      <c r="D525" s="18" t="n">
        <v>-92</v>
      </c>
      <c r="E525" s="18" t="n">
        <v>45</v>
      </c>
      <c r="F525" s="18" t="n">
        <f aca="false">E525*0.5144</f>
        <v>23.148</v>
      </c>
      <c r="G525" s="22" t="e">
        <f aca="false">arclethnm(C524,D524,C525,D525)/6</f>
        <v>#NAME?</v>
      </c>
      <c r="H525" s="22" t="e">
        <f aca="false">G525*0.5144</f>
        <v>#NAME?</v>
      </c>
      <c r="I525" s="18" t="n">
        <v>0</v>
      </c>
    </row>
    <row r="526" customFormat="false" ht="12.75" hidden="false" customHeight="false" outlineLevel="0" collapsed="false">
      <c r="A526" s="18" t="n">
        <f aca="false">A525+0.25</f>
        <v>3.75</v>
      </c>
      <c r="B526" s="18" t="n">
        <f aca="false">B525+0.25</f>
        <v>3.75</v>
      </c>
      <c r="C526" s="18" t="n">
        <v>20.8</v>
      </c>
      <c r="D526" s="18" t="n">
        <v>-93</v>
      </c>
      <c r="E526" s="18" t="n">
        <v>45</v>
      </c>
      <c r="F526" s="18" t="n">
        <f aca="false">E526*0.5144</f>
        <v>23.148</v>
      </c>
      <c r="G526" s="22" t="e">
        <f aca="false">arclethnm(C525,D525,C526,D526)/6</f>
        <v>#NAME?</v>
      </c>
      <c r="H526" s="22" t="e">
        <f aca="false">G526*0.5144</f>
        <v>#NAME?</v>
      </c>
      <c r="I526" s="18" t="n">
        <v>0</v>
      </c>
    </row>
    <row r="527" customFormat="false" ht="12.75" hidden="false" customHeight="false" outlineLevel="0" collapsed="false">
      <c r="A527" s="18" t="n">
        <f aca="false">A526+0.25</f>
        <v>4</v>
      </c>
      <c r="B527" s="18" t="n">
        <f aca="false">B526+0.25</f>
        <v>4</v>
      </c>
      <c r="C527" s="18" t="n">
        <v>21.2</v>
      </c>
      <c r="D527" s="18" t="n">
        <v>-93.5</v>
      </c>
      <c r="E527" s="18" t="n">
        <v>50</v>
      </c>
      <c r="F527" s="18" t="n">
        <f aca="false">E527*0.5144</f>
        <v>25.72</v>
      </c>
      <c r="G527" s="22" t="e">
        <f aca="false">arclethnm(C526,D526,C527,D527)/6</f>
        <v>#NAME?</v>
      </c>
      <c r="H527" s="22" t="e">
        <f aca="false">G527*0.5144</f>
        <v>#NAME?</v>
      </c>
      <c r="I527" s="18" t="n">
        <v>0</v>
      </c>
    </row>
    <row r="528" customFormat="false" ht="12.75" hidden="false" customHeight="false" outlineLevel="0" collapsed="false">
      <c r="A528" s="18" t="n">
        <f aca="false">A527+0.25</f>
        <v>4.25</v>
      </c>
      <c r="B528" s="18" t="n">
        <f aca="false">B527+0.25</f>
        <v>4.25</v>
      </c>
      <c r="C528" s="18" t="n">
        <v>21.6</v>
      </c>
      <c r="D528" s="18" t="n">
        <v>-93.8</v>
      </c>
      <c r="E528" s="18" t="n">
        <v>50</v>
      </c>
      <c r="F528" s="18" t="n">
        <f aca="false">E528*0.5144</f>
        <v>25.72</v>
      </c>
      <c r="G528" s="22" t="e">
        <f aca="false">arclethnm(C527,D527,C528,D528)/6</f>
        <v>#NAME?</v>
      </c>
      <c r="H528" s="22" t="e">
        <f aca="false">G528*0.5144</f>
        <v>#NAME?</v>
      </c>
      <c r="I528" s="18" t="n">
        <v>0</v>
      </c>
    </row>
    <row r="529" customFormat="false" ht="12.75" hidden="false" customHeight="false" outlineLevel="0" collapsed="false">
      <c r="A529" s="18" t="n">
        <f aca="false">A528+0.25</f>
        <v>4.5</v>
      </c>
      <c r="B529" s="18" t="n">
        <f aca="false">B528+0.25</f>
        <v>4.5</v>
      </c>
      <c r="C529" s="18" t="n">
        <v>22</v>
      </c>
      <c r="D529" s="18" t="n">
        <v>-94</v>
      </c>
      <c r="E529" s="18" t="n">
        <v>50</v>
      </c>
      <c r="F529" s="18" t="n">
        <f aca="false">E529*0.5144</f>
        <v>25.72</v>
      </c>
      <c r="G529" s="22" t="e">
        <f aca="false">arclethnm(C528,D528,C529,D529)/6</f>
        <v>#NAME?</v>
      </c>
      <c r="H529" s="22" t="e">
        <f aca="false">G529*0.5144</f>
        <v>#NAME?</v>
      </c>
      <c r="I529" s="18" t="n">
        <v>0</v>
      </c>
    </row>
    <row r="530" customFormat="false" ht="12.75" hidden="false" customHeight="false" outlineLevel="0" collapsed="false">
      <c r="A530" s="18" t="n">
        <f aca="false">A529+0.25</f>
        <v>4.75</v>
      </c>
      <c r="B530" s="18" t="n">
        <f aca="false">B529+0.25</f>
        <v>4.75</v>
      </c>
      <c r="C530" s="18" t="n">
        <v>22.4</v>
      </c>
      <c r="D530" s="18" t="n">
        <v>-94.2</v>
      </c>
      <c r="E530" s="18" t="n">
        <v>55</v>
      </c>
      <c r="F530" s="18" t="n">
        <f aca="false">E530*0.5144</f>
        <v>28.292</v>
      </c>
      <c r="G530" s="22" t="e">
        <f aca="false">arclethnm(C529,D529,C530,D530)/6</f>
        <v>#NAME?</v>
      </c>
      <c r="H530" s="22" t="e">
        <f aca="false">G530*0.5144</f>
        <v>#NAME?</v>
      </c>
      <c r="I530" s="18" t="n">
        <v>0</v>
      </c>
    </row>
    <row r="531" customFormat="false" ht="12.75" hidden="false" customHeight="false" outlineLevel="0" collapsed="false">
      <c r="A531" s="18" t="n">
        <f aca="false">A530+0.25</f>
        <v>5</v>
      </c>
      <c r="B531" s="18" t="n">
        <f aca="false">B530+0.25</f>
        <v>5</v>
      </c>
      <c r="C531" s="18" t="n">
        <v>22.8</v>
      </c>
      <c r="D531" s="18" t="n">
        <v>-94.5</v>
      </c>
      <c r="E531" s="18" t="n">
        <v>60</v>
      </c>
      <c r="F531" s="18" t="n">
        <f aca="false">E531*0.5144</f>
        <v>30.864</v>
      </c>
      <c r="G531" s="22" t="e">
        <f aca="false">arclethnm(C530,D530,C531,D531)/6</f>
        <v>#NAME?</v>
      </c>
      <c r="H531" s="22" t="e">
        <f aca="false">G531*0.5144</f>
        <v>#NAME?</v>
      </c>
      <c r="I531" s="18" t="n">
        <v>0</v>
      </c>
    </row>
    <row r="532" customFormat="false" ht="12.75" hidden="false" customHeight="false" outlineLevel="0" collapsed="false">
      <c r="A532" s="18" t="n">
        <f aca="false">A531+0.25</f>
        <v>5.25</v>
      </c>
      <c r="B532" s="18" t="n">
        <f aca="false">B531+0.25</f>
        <v>5.25</v>
      </c>
      <c r="C532" s="18" t="n">
        <v>23.2</v>
      </c>
      <c r="D532" s="18" t="n">
        <v>-94.7</v>
      </c>
      <c r="E532" s="18" t="n">
        <v>60</v>
      </c>
      <c r="F532" s="18" t="n">
        <f aca="false">E532*0.5144</f>
        <v>30.864</v>
      </c>
      <c r="G532" s="22" t="e">
        <f aca="false">arclethnm(C531,D531,C532,D532)/6</f>
        <v>#NAME?</v>
      </c>
      <c r="H532" s="22" t="e">
        <f aca="false">G532*0.5144</f>
        <v>#NAME?</v>
      </c>
      <c r="I532" s="18" t="n">
        <v>0</v>
      </c>
    </row>
    <row r="533" customFormat="false" ht="12.75" hidden="false" customHeight="false" outlineLevel="0" collapsed="false">
      <c r="A533" s="18" t="n">
        <f aca="false">A532+0.25</f>
        <v>5.5</v>
      </c>
      <c r="B533" s="18" t="n">
        <f aca="false">B532+0.25</f>
        <v>5.5</v>
      </c>
      <c r="C533" s="18" t="n">
        <v>23.7</v>
      </c>
      <c r="D533" s="18" t="n">
        <v>-95</v>
      </c>
      <c r="E533" s="18" t="n">
        <v>65</v>
      </c>
      <c r="F533" s="18" t="n">
        <f aca="false">E533*0.5144</f>
        <v>33.436</v>
      </c>
      <c r="G533" s="22" t="e">
        <f aca="false">arclethnm(C532,D532,C533,D533)/6</f>
        <v>#NAME?</v>
      </c>
      <c r="H533" s="22" t="e">
        <f aca="false">G533*0.5144</f>
        <v>#NAME?</v>
      </c>
      <c r="I533" s="18" t="n">
        <v>0</v>
      </c>
    </row>
    <row r="534" customFormat="false" ht="12.75" hidden="false" customHeight="false" outlineLevel="0" collapsed="false">
      <c r="A534" s="18" t="n">
        <f aca="false">A533+0.25</f>
        <v>5.75</v>
      </c>
      <c r="B534" s="18" t="n">
        <f aca="false">B533+0.25</f>
        <v>5.75</v>
      </c>
      <c r="C534" s="18" t="n">
        <v>24.2</v>
      </c>
      <c r="D534" s="18" t="n">
        <v>-95.2</v>
      </c>
      <c r="E534" s="18" t="n">
        <v>65</v>
      </c>
      <c r="F534" s="18" t="n">
        <f aca="false">E534*0.5144</f>
        <v>33.436</v>
      </c>
      <c r="G534" s="22" t="e">
        <f aca="false">arclethnm(C533,D533,C534,D534)/6</f>
        <v>#NAME?</v>
      </c>
      <c r="H534" s="22" t="e">
        <f aca="false">G534*0.5144</f>
        <v>#NAME?</v>
      </c>
      <c r="I534" s="18" t="n">
        <v>0</v>
      </c>
    </row>
    <row r="535" customFormat="false" ht="12.75" hidden="false" customHeight="false" outlineLevel="0" collapsed="false">
      <c r="A535" s="18" t="n">
        <f aca="false">A534+0.25</f>
        <v>6</v>
      </c>
      <c r="B535" s="18" t="n">
        <f aca="false">B534+0.25</f>
        <v>6</v>
      </c>
      <c r="C535" s="18" t="n">
        <v>24.7</v>
      </c>
      <c r="D535" s="18" t="n">
        <v>-95.3</v>
      </c>
      <c r="E535" s="18" t="n">
        <v>65</v>
      </c>
      <c r="F535" s="18" t="n">
        <f aca="false">E535*0.5144</f>
        <v>33.436</v>
      </c>
      <c r="G535" s="22" t="e">
        <f aca="false">arclethnm(C534,D534,C535,D535)/6</f>
        <v>#NAME?</v>
      </c>
      <c r="H535" s="22" t="e">
        <f aca="false">G535*0.5144</f>
        <v>#NAME?</v>
      </c>
      <c r="I535" s="18" t="n">
        <v>0</v>
      </c>
    </row>
    <row r="536" customFormat="false" ht="12.75" hidden="false" customHeight="false" outlineLevel="0" collapsed="false">
      <c r="A536" s="18" t="n">
        <f aca="false">A535+0.25</f>
        <v>6.25</v>
      </c>
      <c r="B536" s="18" t="n">
        <f aca="false">B535+0.25</f>
        <v>6.25</v>
      </c>
      <c r="C536" s="18" t="n">
        <v>25.1</v>
      </c>
      <c r="D536" s="18" t="n">
        <v>-95.4</v>
      </c>
      <c r="E536" s="18" t="n">
        <v>65</v>
      </c>
      <c r="F536" s="18" t="n">
        <f aca="false">E536*0.5144</f>
        <v>33.436</v>
      </c>
      <c r="G536" s="22" t="e">
        <f aca="false">arclethnm(C535,D535,C536,D536)/6</f>
        <v>#NAME?</v>
      </c>
      <c r="H536" s="22" t="e">
        <f aca="false">G536*0.5144</f>
        <v>#NAME?</v>
      </c>
      <c r="I536" s="18" t="n">
        <v>0</v>
      </c>
    </row>
    <row r="537" customFormat="false" ht="12.75" hidden="false" customHeight="false" outlineLevel="0" collapsed="false">
      <c r="A537" s="18" t="n">
        <f aca="false">A536+0.25</f>
        <v>6.5</v>
      </c>
      <c r="B537" s="18" t="n">
        <f aca="false">B536+0.25</f>
        <v>6.5</v>
      </c>
      <c r="C537" s="18" t="n">
        <v>25.5</v>
      </c>
      <c r="D537" s="18" t="n">
        <v>-95.5</v>
      </c>
      <c r="E537" s="18" t="n">
        <v>70</v>
      </c>
      <c r="F537" s="18" t="n">
        <f aca="false">E537*0.5144</f>
        <v>36.008</v>
      </c>
      <c r="G537" s="22" t="e">
        <f aca="false">arclethnm(C536,D536,C537,D537)/6</f>
        <v>#NAME?</v>
      </c>
      <c r="H537" s="22" t="e">
        <f aca="false">G537*0.5144</f>
        <v>#NAME?</v>
      </c>
      <c r="I537" s="18" t="n">
        <v>0</v>
      </c>
    </row>
    <row r="538" customFormat="false" ht="12.75" hidden="false" customHeight="false" outlineLevel="0" collapsed="false">
      <c r="A538" s="18" t="n">
        <f aca="false">A537+0.25</f>
        <v>6.75</v>
      </c>
      <c r="B538" s="18" t="n">
        <f aca="false">B537+0.25</f>
        <v>6.75</v>
      </c>
      <c r="C538" s="18" t="n">
        <v>26</v>
      </c>
      <c r="D538" s="18" t="n">
        <v>-95.6</v>
      </c>
      <c r="E538" s="18" t="n">
        <v>70</v>
      </c>
      <c r="F538" s="18" t="n">
        <f aca="false">E538*0.5144</f>
        <v>36.008</v>
      </c>
      <c r="G538" s="22" t="e">
        <f aca="false">arclethnm(C537,D537,C538,D538)/6</f>
        <v>#NAME?</v>
      </c>
      <c r="H538" s="22" t="e">
        <f aca="false">G538*0.5144</f>
        <v>#NAME?</v>
      </c>
      <c r="I538" s="18" t="n">
        <v>0</v>
      </c>
    </row>
    <row r="539" customFormat="false" ht="12.75" hidden="false" customHeight="false" outlineLevel="0" collapsed="false">
      <c r="A539" s="18" t="n">
        <f aca="false">A538+0.25</f>
        <v>7</v>
      </c>
      <c r="B539" s="18" t="n">
        <f aca="false">B538+0.25</f>
        <v>7</v>
      </c>
      <c r="C539" s="18" t="n">
        <v>26.5</v>
      </c>
      <c r="D539" s="18" t="n">
        <v>-95.6</v>
      </c>
      <c r="E539" s="18" t="n">
        <v>75</v>
      </c>
      <c r="F539" s="18" t="n">
        <f aca="false">E539*0.5144</f>
        <v>38.58</v>
      </c>
      <c r="G539" s="22" t="e">
        <f aca="false">arclethnm(C538,D538,C539,D539)/6</f>
        <v>#NAME?</v>
      </c>
      <c r="H539" s="22" t="e">
        <f aca="false">G539*0.5144</f>
        <v>#NAME?</v>
      </c>
      <c r="I539" s="18" t="n">
        <v>0</v>
      </c>
    </row>
    <row r="540" customFormat="false" ht="12.75" hidden="false" customHeight="false" outlineLevel="0" collapsed="false">
      <c r="A540" s="18" t="n">
        <f aca="false">A539+0.25</f>
        <v>7.25</v>
      </c>
      <c r="B540" s="18" t="n">
        <f aca="false">B539+0.25</f>
        <v>7.25</v>
      </c>
      <c r="C540" s="18" t="n">
        <v>27</v>
      </c>
      <c r="D540" s="18" t="n">
        <v>-95.7</v>
      </c>
      <c r="E540" s="18" t="n">
        <v>80</v>
      </c>
      <c r="F540" s="18" t="n">
        <f aca="false">E540*0.5144</f>
        <v>41.152</v>
      </c>
      <c r="G540" s="22" t="e">
        <f aca="false">arclethnm(C539,D539,C540,D540)/6</f>
        <v>#NAME?</v>
      </c>
      <c r="H540" s="22" t="e">
        <f aca="false">G540*0.5144</f>
        <v>#NAME?</v>
      </c>
      <c r="I540" s="18" t="n">
        <v>0</v>
      </c>
    </row>
    <row r="541" customFormat="false" ht="12.75" hidden="false" customHeight="false" outlineLevel="0" collapsed="false">
      <c r="A541" s="18" t="n">
        <f aca="false">A540+0.25</f>
        <v>7.5</v>
      </c>
      <c r="B541" s="18" t="n">
        <f aca="false">B540+0.25</f>
        <v>7.5</v>
      </c>
      <c r="C541" s="18" t="n">
        <v>27.6</v>
      </c>
      <c r="D541" s="18" t="n">
        <v>-95.8</v>
      </c>
      <c r="E541" s="18" t="n">
        <v>80</v>
      </c>
      <c r="F541" s="18" t="n">
        <f aca="false">E541*0.5144</f>
        <v>41.152</v>
      </c>
      <c r="G541" s="22" t="e">
        <f aca="false">arclethnm(C540,D540,C541,D541)/6</f>
        <v>#NAME?</v>
      </c>
      <c r="H541" s="22" t="e">
        <f aca="false">G541*0.5144</f>
        <v>#NAME?</v>
      </c>
      <c r="I541" s="18" t="n">
        <v>0</v>
      </c>
    </row>
    <row r="542" customFormat="false" ht="12.75" hidden="false" customHeight="false" outlineLevel="0" collapsed="false">
      <c r="A542" s="18" t="n">
        <f aca="false">A541+0.25</f>
        <v>7.75</v>
      </c>
      <c r="B542" s="18" t="n">
        <f aca="false">B541+0.25</f>
        <v>7.75</v>
      </c>
      <c r="C542" s="18" t="n">
        <v>28.5</v>
      </c>
      <c r="D542" s="18" t="n">
        <v>-95.9</v>
      </c>
      <c r="E542" s="18" t="n">
        <v>80</v>
      </c>
      <c r="F542" s="18" t="n">
        <f aca="false">E542*0.5144</f>
        <v>41.152</v>
      </c>
      <c r="G542" s="22" t="e">
        <f aca="false">arclethnm(C541,D541,C542,D542)/6</f>
        <v>#NAME?</v>
      </c>
      <c r="H542" s="22" t="e">
        <f aca="false">G542*0.5144</f>
        <v>#NAME?</v>
      </c>
      <c r="I542" s="18" t="n">
        <v>980</v>
      </c>
    </row>
    <row r="543" customFormat="false" ht="12.75" hidden="false" customHeight="false" outlineLevel="0" collapsed="false">
      <c r="A543" s="18" t="n">
        <f aca="false">A542+0.25</f>
        <v>8</v>
      </c>
      <c r="B543" s="18" t="n">
        <f aca="false">B542+0.25</f>
        <v>8</v>
      </c>
      <c r="C543" s="18" t="n">
        <v>29.6</v>
      </c>
      <c r="D543" s="18" t="n">
        <v>-96</v>
      </c>
      <c r="E543" s="18" t="n">
        <v>50</v>
      </c>
      <c r="F543" s="18" t="n">
        <f aca="false">E543*0.5144</f>
        <v>25.72</v>
      </c>
      <c r="G543" s="22" t="e">
        <f aca="false">arclethnm(C542,D542,C543,D543)/6</f>
        <v>#NAME?</v>
      </c>
      <c r="H543" s="22" t="e">
        <f aca="false">G543*0.5144</f>
        <v>#NAME?</v>
      </c>
      <c r="I543" s="18" t="n">
        <v>0</v>
      </c>
    </row>
    <row r="544" customFormat="false" ht="12.75" hidden="false" customHeight="false" outlineLevel="0" collapsed="false">
      <c r="A544" s="18" t="n">
        <f aca="false">A543+0.25</f>
        <v>8.25</v>
      </c>
      <c r="B544" s="18" t="n">
        <f aca="false">B543+0.25</f>
        <v>8.25</v>
      </c>
      <c r="C544" s="18" t="n">
        <v>30.9</v>
      </c>
      <c r="D544" s="18" t="n">
        <v>-96.1</v>
      </c>
      <c r="E544" s="18" t="n">
        <v>40</v>
      </c>
      <c r="F544" s="18" t="n">
        <f aca="false">E544*0.5144</f>
        <v>20.576</v>
      </c>
      <c r="G544" s="22" t="e">
        <f aca="false">arclethnm(C543,D543,C544,D544)/6</f>
        <v>#NAME?</v>
      </c>
      <c r="H544" s="22" t="e">
        <f aca="false">G544*0.5144</f>
        <v>#NAME?</v>
      </c>
      <c r="I544" s="18" t="n">
        <v>0</v>
      </c>
    </row>
    <row r="545" customFormat="false" ht="12.75" hidden="false" customHeight="false" outlineLevel="0" collapsed="false">
      <c r="A545" s="18" t="n">
        <f aca="false">A544+0.25</f>
        <v>8.5</v>
      </c>
      <c r="B545" s="18" t="n">
        <f aca="false">B544+0.25</f>
        <v>8.5</v>
      </c>
      <c r="C545" s="18" t="n">
        <v>32.1</v>
      </c>
      <c r="D545" s="18" t="n">
        <v>-96.2</v>
      </c>
      <c r="E545" s="18" t="n">
        <v>30</v>
      </c>
      <c r="F545" s="18" t="n">
        <f aca="false">E545*0.5144</f>
        <v>15.432</v>
      </c>
      <c r="G545" s="22" t="e">
        <f aca="false">arclethnm(C544,D544,C545,D545)/6</f>
        <v>#NAME?</v>
      </c>
      <c r="H545" s="22" t="e">
        <f aca="false">G545*0.5144</f>
        <v>#NAME?</v>
      </c>
      <c r="I545" s="18" t="n">
        <v>0</v>
      </c>
    </row>
    <row r="546" customFormat="false" ht="12.75" hidden="false" customHeight="false" outlineLevel="0" collapsed="false">
      <c r="A546" s="18" t="n">
        <f aca="false">A545+0.25</f>
        <v>8.75</v>
      </c>
      <c r="B546" s="18" t="n">
        <f aca="false">B545+0.25</f>
        <v>8.75</v>
      </c>
      <c r="C546" s="18" t="n">
        <v>33.2</v>
      </c>
      <c r="D546" s="18" t="n">
        <v>-96.1</v>
      </c>
      <c r="E546" s="18" t="n">
        <v>30</v>
      </c>
      <c r="F546" s="18" t="n">
        <f aca="false">E546*0.5144</f>
        <v>15.432</v>
      </c>
      <c r="G546" s="22" t="e">
        <f aca="false">arclethnm(C545,D545,C546,D546)/6</f>
        <v>#NAME?</v>
      </c>
      <c r="H546" s="22" t="e">
        <f aca="false">G546*0.5144</f>
        <v>#NAME?</v>
      </c>
      <c r="I546" s="18" t="n">
        <v>0</v>
      </c>
    </row>
    <row r="547" customFormat="false" ht="12.75" hidden="false" customHeight="false" outlineLevel="0" collapsed="false">
      <c r="A547" s="18" t="n">
        <f aca="false">A546+0.25</f>
        <v>9</v>
      </c>
      <c r="B547" s="18" t="n">
        <f aca="false">B546+0.25</f>
        <v>9</v>
      </c>
      <c r="C547" s="18" t="n">
        <v>34.3</v>
      </c>
      <c r="D547" s="18" t="n">
        <v>-95.7</v>
      </c>
      <c r="E547" s="18" t="n">
        <v>30</v>
      </c>
      <c r="F547" s="18" t="n">
        <f aca="false">E547*0.5144</f>
        <v>15.432</v>
      </c>
      <c r="G547" s="22" t="e">
        <f aca="false">arclethnm(C546,D546,C547,D547)/6</f>
        <v>#NAME?</v>
      </c>
      <c r="H547" s="22" t="e">
        <f aca="false">G547*0.5144</f>
        <v>#NAME?</v>
      </c>
      <c r="I547" s="18" t="n">
        <v>0</v>
      </c>
    </row>
    <row r="548" customFormat="false" ht="12.75" hidden="false" customHeight="false" outlineLevel="0" collapsed="false">
      <c r="A548" s="18" t="n">
        <f aca="false">A547+0.25</f>
        <v>9.25</v>
      </c>
      <c r="B548" s="18" t="n">
        <f aca="false">B547+0.25</f>
        <v>9.25</v>
      </c>
      <c r="C548" s="18" t="n">
        <v>35.3</v>
      </c>
      <c r="D548" s="18" t="n">
        <v>-95.3</v>
      </c>
      <c r="E548" s="18" t="n">
        <v>30</v>
      </c>
      <c r="F548" s="18" t="n">
        <f aca="false">E548*0.5144</f>
        <v>15.432</v>
      </c>
      <c r="G548" s="22" t="e">
        <f aca="false">arclethnm(C547,D547,C548,D548)/6</f>
        <v>#NAME?</v>
      </c>
      <c r="H548" s="22" t="e">
        <f aca="false">G548*0.5144</f>
        <v>#NAME?</v>
      </c>
      <c r="I548" s="18" t="n">
        <v>0</v>
      </c>
    </row>
    <row r="549" customFormat="false" ht="12.75" hidden="false" customHeight="false" outlineLevel="0" collapsed="false">
      <c r="A549" s="18" t="n">
        <f aca="false">A548+0.25</f>
        <v>9.5</v>
      </c>
      <c r="B549" s="18" t="n">
        <f aca="false">B548+0.25</f>
        <v>9.5</v>
      </c>
      <c r="C549" s="18" t="n">
        <v>36.3</v>
      </c>
      <c r="D549" s="18" t="n">
        <v>-95</v>
      </c>
      <c r="E549" s="18" t="n">
        <v>30</v>
      </c>
      <c r="F549" s="18" t="n">
        <f aca="false">E549*0.5144</f>
        <v>15.432</v>
      </c>
      <c r="G549" s="22" t="e">
        <f aca="false">arclethnm(C548,D548,C549,D549)/6</f>
        <v>#NAME?</v>
      </c>
      <c r="H549" s="22" t="e">
        <f aca="false">G549*0.5144</f>
        <v>#NAME?</v>
      </c>
      <c r="I549" s="18" t="n">
        <v>0</v>
      </c>
    </row>
    <row r="550" customFormat="false" ht="12.75" hidden="false" customHeight="false" outlineLevel="0" collapsed="false">
      <c r="A550" s="18" t="n">
        <f aca="false">A549+0.25</f>
        <v>9.75</v>
      </c>
      <c r="B550" s="18" t="n">
        <f aca="false">B549+0.25</f>
        <v>9.75</v>
      </c>
      <c r="C550" s="18" t="n">
        <v>36.9</v>
      </c>
      <c r="D550" s="18" t="n">
        <v>-94.9</v>
      </c>
      <c r="E550" s="18" t="n">
        <v>30</v>
      </c>
      <c r="F550" s="18" t="n">
        <f aca="false">E550*0.5144</f>
        <v>15.432</v>
      </c>
      <c r="G550" s="22" t="e">
        <f aca="false">arclethnm(C549,D549,C550,D550)/6</f>
        <v>#NAME?</v>
      </c>
      <c r="H550" s="22" t="e">
        <f aca="false">G550*0.5144</f>
        <v>#NAME?</v>
      </c>
      <c r="I550" s="18" t="n">
        <v>0</v>
      </c>
    </row>
    <row r="551" customFormat="false" ht="12.75" hidden="false" customHeight="false" outlineLevel="0" collapsed="false">
      <c r="A551" s="18" t="n">
        <f aca="false">A550+0.25</f>
        <v>10</v>
      </c>
      <c r="B551" s="18" t="n">
        <f aca="false">B550+0.25</f>
        <v>10</v>
      </c>
      <c r="C551" s="18" t="n">
        <v>37.3</v>
      </c>
      <c r="D551" s="18" t="n">
        <v>-94.8</v>
      </c>
      <c r="E551" s="18" t="n">
        <v>30</v>
      </c>
      <c r="F551" s="18" t="n">
        <f aca="false">E551*0.5144</f>
        <v>15.432</v>
      </c>
      <c r="G551" s="22" t="e">
        <f aca="false">arclethnm(C550,D550,C551,D551)/6</f>
        <v>#NAME?</v>
      </c>
      <c r="H551" s="22" t="e">
        <f aca="false">G551*0.5144</f>
        <v>#NAME?</v>
      </c>
      <c r="I551" s="18" t="n">
        <v>0</v>
      </c>
    </row>
    <row r="552" customFormat="false" ht="12.75" hidden="false" customHeight="false" outlineLevel="0" collapsed="false">
      <c r="A552" s="18" t="n">
        <f aca="false">A551+0.25</f>
        <v>10.25</v>
      </c>
      <c r="B552" s="18" t="n">
        <f aca="false">B551+0.25</f>
        <v>10.25</v>
      </c>
      <c r="C552" s="18" t="n">
        <v>37.6</v>
      </c>
      <c r="D552" s="18" t="n">
        <v>-94.8</v>
      </c>
      <c r="E552" s="18" t="n">
        <v>30</v>
      </c>
      <c r="F552" s="18" t="n">
        <f aca="false">E552*0.5144</f>
        <v>15.432</v>
      </c>
      <c r="G552" s="22" t="e">
        <f aca="false">arclethnm(C551,D551,C552,D552)/6</f>
        <v>#NAME?</v>
      </c>
      <c r="H552" s="22" t="e">
        <f aca="false">G552*0.5144</f>
        <v>#NAME?</v>
      </c>
      <c r="I552" s="18" t="n">
        <v>0</v>
      </c>
    </row>
    <row r="553" customFormat="false" ht="12.75" hidden="false" customHeight="false" outlineLevel="0" collapsed="false">
      <c r="A553" s="18" t="n">
        <f aca="false">A552+0.25</f>
        <v>10.5</v>
      </c>
      <c r="B553" s="18" t="n">
        <f aca="false">B552+0.25</f>
        <v>10.5</v>
      </c>
      <c r="C553" s="18" t="n">
        <v>37.9</v>
      </c>
      <c r="D553" s="18" t="n">
        <v>-94.8</v>
      </c>
      <c r="E553" s="18" t="n">
        <v>25</v>
      </c>
      <c r="F553" s="18" t="n">
        <f aca="false">E553*0.5144</f>
        <v>12.86</v>
      </c>
      <c r="G553" s="22" t="e">
        <f aca="false">arclethnm(C552,D552,C553,D553)/6</f>
        <v>#NAME?</v>
      </c>
      <c r="H553" s="22" t="e">
        <f aca="false">G553*0.5144</f>
        <v>#NAME?</v>
      </c>
      <c r="I553" s="18" t="n">
        <v>0</v>
      </c>
    </row>
    <row r="554" customFormat="false" ht="12.75" hidden="false" customHeight="false" outlineLevel="0" collapsed="false">
      <c r="A554" s="18" t="n">
        <f aca="false">A553+0.25</f>
        <v>10.75</v>
      </c>
      <c r="B554" s="18" t="n">
        <f aca="false">B553+0.25</f>
        <v>10.75</v>
      </c>
      <c r="C554" s="18" t="n">
        <v>38.3</v>
      </c>
      <c r="D554" s="18" t="n">
        <v>-94.8</v>
      </c>
      <c r="E554" s="18" t="n">
        <v>20</v>
      </c>
      <c r="F554" s="18" t="n">
        <f aca="false">E554*0.5144</f>
        <v>10.288</v>
      </c>
      <c r="G554" s="22" t="e">
        <f aca="false">arclethnm(C553,D553,C554,D554)/6</f>
        <v>#NAME?</v>
      </c>
      <c r="H554" s="22" t="e">
        <f aca="false">G554*0.5144</f>
        <v>#NAME?</v>
      </c>
      <c r="I554" s="18" t="n">
        <v>0</v>
      </c>
    </row>
    <row r="555" customFormat="false" ht="12.75" hidden="false" customHeight="false" outlineLevel="0" collapsed="false">
      <c r="A555" s="18" t="n">
        <f aca="false">A554+0.25</f>
        <v>11</v>
      </c>
      <c r="B555" s="18" t="n">
        <f aca="false">B554+0.25</f>
        <v>11</v>
      </c>
      <c r="C555" s="18" t="n">
        <v>38.8</v>
      </c>
      <c r="D555" s="18" t="n">
        <v>-94.9</v>
      </c>
      <c r="E555" s="18" t="n">
        <v>20</v>
      </c>
      <c r="F555" s="18" t="n">
        <f aca="false">E555*0.5144</f>
        <v>10.288</v>
      </c>
      <c r="G555" s="22" t="e">
        <f aca="false">arclethnm(C554,D554,C555,D555)/6</f>
        <v>#NAME?</v>
      </c>
      <c r="H555" s="22" t="e">
        <f aca="false">G555*0.5144</f>
        <v>#NAME?</v>
      </c>
      <c r="I555" s="18" t="n">
        <v>0</v>
      </c>
    </row>
    <row r="556" customFormat="false" ht="12.75" hidden="false" customHeight="false" outlineLevel="0" collapsed="false">
      <c r="A556" s="18" t="n">
        <f aca="false">A555+0.25</f>
        <v>11.25</v>
      </c>
      <c r="B556" s="18" t="n">
        <f aca="false">B555+0.25</f>
        <v>11.25</v>
      </c>
      <c r="C556" s="18" t="n">
        <v>39.4</v>
      </c>
      <c r="D556" s="18" t="n">
        <v>-95</v>
      </c>
      <c r="E556" s="18" t="n">
        <v>15</v>
      </c>
      <c r="F556" s="18" t="n">
        <f aca="false">E556*0.5144</f>
        <v>7.716</v>
      </c>
      <c r="G556" s="22" t="e">
        <f aca="false">arclethnm(C555,D555,C556,D556)/6</f>
        <v>#NAME?</v>
      </c>
      <c r="H556" s="22" t="e">
        <f aca="false">G556*0.5144</f>
        <v>#NAME?</v>
      </c>
      <c r="I556" s="18" t="n">
        <v>0</v>
      </c>
    </row>
    <row r="557" customFormat="false" ht="12.75" hidden="false" customHeight="false" outlineLevel="0" collapsed="false">
      <c r="A557" s="18" t="n">
        <f aca="false">A556+0.25</f>
        <v>11.5</v>
      </c>
      <c r="B557" s="18" t="n">
        <f aca="false">B556+0.25</f>
        <v>11.5</v>
      </c>
      <c r="C557" s="18" t="n">
        <v>40</v>
      </c>
      <c r="D557" s="18" t="n">
        <v>-95.2</v>
      </c>
      <c r="E557" s="18" t="n">
        <v>15</v>
      </c>
      <c r="F557" s="18" t="n">
        <f aca="false">E557*0.5144</f>
        <v>7.716</v>
      </c>
      <c r="G557" s="22" t="e">
        <f aca="false">arclethnm(C556,D556,C557,D557)/6</f>
        <v>#NAME?</v>
      </c>
      <c r="H557" s="22" t="e">
        <f aca="false">G557*0.5144</f>
        <v>#NAME?</v>
      </c>
      <c r="I557" s="18" t="n">
        <v>0</v>
      </c>
    </row>
    <row r="558" customFormat="false" ht="12.75" hidden="false" customHeight="false" outlineLevel="0" collapsed="false">
      <c r="A558" s="0"/>
      <c r="B558" s="0"/>
      <c r="C558" s="0"/>
      <c r="D558" s="0"/>
      <c r="E558" s="0"/>
      <c r="F558" s="0"/>
      <c r="G558" s="22"/>
      <c r="H558" s="22"/>
      <c r="I558" s="0"/>
    </row>
    <row r="559" customFormat="false" ht="12.75" hidden="false" customHeight="false" outlineLevel="0" collapsed="false">
      <c r="A559" s="0"/>
      <c r="B559" s="0"/>
      <c r="C559" s="0"/>
      <c r="D559" s="0"/>
      <c r="E559" s="0"/>
      <c r="F559" s="0"/>
      <c r="G559" s="22"/>
      <c r="H559" s="22"/>
      <c r="I559" s="0"/>
    </row>
    <row r="560" customFormat="false" ht="12.75" hidden="false" customHeight="false" outlineLevel="0" collapsed="false">
      <c r="A560" s="0"/>
      <c r="B560" s="0"/>
      <c r="C560" s="0"/>
      <c r="D560" s="0"/>
      <c r="E560" s="0"/>
      <c r="F560" s="0"/>
      <c r="G560" s="22"/>
      <c r="H560" s="22"/>
      <c r="I560" s="0"/>
    </row>
    <row r="561" customFormat="false" ht="12.75" hidden="false" customHeight="false" outlineLevel="0" collapsed="false">
      <c r="A561" s="0"/>
      <c r="B561" s="18" t="n">
        <v>1929</v>
      </c>
      <c r="C561" s="0"/>
      <c r="D561" s="0"/>
      <c r="E561" s="0"/>
      <c r="F561" s="0"/>
      <c r="G561" s="22"/>
      <c r="H561" s="22"/>
      <c r="I561" s="0"/>
    </row>
    <row r="562" customFormat="false" ht="12.75" hidden="false" customHeight="false" outlineLevel="0" collapsed="false">
      <c r="A562" s="18" t="n">
        <v>1</v>
      </c>
      <c r="B562" s="18" t="n">
        <v>1</v>
      </c>
      <c r="C562" s="18" t="n">
        <v>21.3</v>
      </c>
      <c r="D562" s="18" t="n">
        <v>-93.3</v>
      </c>
      <c r="E562" s="18" t="n">
        <v>35</v>
      </c>
      <c r="F562" s="18" t="n">
        <f aca="false">E562*0.5144</f>
        <v>18.004</v>
      </c>
      <c r="G562" s="22"/>
      <c r="H562" s="22"/>
      <c r="I562" s="18" t="n">
        <v>0</v>
      </c>
    </row>
    <row r="563" customFormat="false" ht="12.75" hidden="false" customHeight="false" outlineLevel="0" collapsed="false">
      <c r="A563" s="18" t="n">
        <f aca="false">A562+0.25</f>
        <v>1.25</v>
      </c>
      <c r="B563" s="18" t="n">
        <f aca="false">B562+0.25</f>
        <v>1.25</v>
      </c>
      <c r="C563" s="18" t="n">
        <v>22.5</v>
      </c>
      <c r="D563" s="18" t="n">
        <v>-93.4</v>
      </c>
      <c r="E563" s="18" t="n">
        <v>35</v>
      </c>
      <c r="F563" s="18" t="n">
        <f aca="false">E563*0.5144</f>
        <v>18.004</v>
      </c>
      <c r="G563" s="22" t="e">
        <f aca="false">arclethnm(C562,D562,C563,D563)/6</f>
        <v>#NAME?</v>
      </c>
      <c r="H563" s="22" t="e">
        <f aca="false">G563*0.5144</f>
        <v>#NAME?</v>
      </c>
      <c r="I563" s="18" t="n">
        <v>0</v>
      </c>
    </row>
    <row r="564" customFormat="false" ht="12.75" hidden="false" customHeight="false" outlineLevel="0" collapsed="false">
      <c r="A564" s="18" t="n">
        <f aca="false">A563+0.25</f>
        <v>1.5</v>
      </c>
      <c r="B564" s="18" t="n">
        <f aca="false">B563+0.25</f>
        <v>1.5</v>
      </c>
      <c r="C564" s="18" t="n">
        <v>23.6</v>
      </c>
      <c r="D564" s="18" t="n">
        <v>-93.6</v>
      </c>
      <c r="E564" s="18" t="n">
        <v>45</v>
      </c>
      <c r="F564" s="18" t="n">
        <f aca="false">E564*0.5144</f>
        <v>23.148</v>
      </c>
      <c r="G564" s="22" t="e">
        <f aca="false">arclethnm(C563,D563,C564,D564)/6</f>
        <v>#NAME?</v>
      </c>
      <c r="H564" s="22" t="e">
        <f aca="false">G564*0.5144</f>
        <v>#NAME?</v>
      </c>
      <c r="I564" s="18" t="n">
        <v>0</v>
      </c>
    </row>
    <row r="565" customFormat="false" ht="12.75" hidden="false" customHeight="false" outlineLevel="0" collapsed="false">
      <c r="A565" s="18" t="n">
        <f aca="false">A564+0.25</f>
        <v>1.75</v>
      </c>
      <c r="B565" s="18" t="n">
        <f aca="false">B564+0.25</f>
        <v>1.75</v>
      </c>
      <c r="C565" s="18" t="n">
        <v>24.5</v>
      </c>
      <c r="D565" s="18" t="n">
        <v>-93.9</v>
      </c>
      <c r="E565" s="18" t="n">
        <v>55</v>
      </c>
      <c r="F565" s="18" t="n">
        <f aca="false">E565*0.5144</f>
        <v>28.292</v>
      </c>
      <c r="G565" s="22" t="e">
        <f aca="false">arclethnm(C564,D564,C565,D565)/6</f>
        <v>#NAME?</v>
      </c>
      <c r="H565" s="22" t="e">
        <f aca="false">G565*0.5144</f>
        <v>#NAME?</v>
      </c>
      <c r="I565" s="18" t="n">
        <v>0</v>
      </c>
    </row>
    <row r="566" customFormat="false" ht="12.75" hidden="false" customHeight="false" outlineLevel="0" collapsed="false">
      <c r="A566" s="18" t="n">
        <f aca="false">A565+0.25</f>
        <v>2</v>
      </c>
      <c r="B566" s="18" t="n">
        <f aca="false">B565+0.25</f>
        <v>2</v>
      </c>
      <c r="C566" s="18" t="n">
        <v>25.4</v>
      </c>
      <c r="D566" s="18" t="n">
        <v>-94.3</v>
      </c>
      <c r="E566" s="18" t="n">
        <v>65</v>
      </c>
      <c r="F566" s="18" t="n">
        <f aca="false">E566*0.5144</f>
        <v>33.436</v>
      </c>
      <c r="G566" s="22" t="e">
        <f aca="false">arclethnm(C565,D565,C566,D566)/6</f>
        <v>#NAME?</v>
      </c>
      <c r="H566" s="22" t="e">
        <f aca="false">G566*0.5144</f>
        <v>#NAME?</v>
      </c>
      <c r="I566" s="18" t="n">
        <v>0</v>
      </c>
    </row>
    <row r="567" customFormat="false" ht="12.75" hidden="false" customHeight="false" outlineLevel="0" collapsed="false">
      <c r="A567" s="18" t="n">
        <f aca="false">A566+0.25</f>
        <v>2.25</v>
      </c>
      <c r="B567" s="18" t="n">
        <f aca="false">B566+0.25</f>
        <v>2.25</v>
      </c>
      <c r="C567" s="18" t="n">
        <v>26.2</v>
      </c>
      <c r="D567" s="18" t="n">
        <v>-94.7</v>
      </c>
      <c r="E567" s="18" t="n">
        <v>70</v>
      </c>
      <c r="F567" s="18" t="n">
        <f aca="false">E567*0.5144</f>
        <v>36.008</v>
      </c>
      <c r="G567" s="22" t="e">
        <f aca="false">arclethnm(C566,D566,C567,D567)/6</f>
        <v>#NAME?</v>
      </c>
      <c r="H567" s="22" t="e">
        <f aca="false">G567*0.5144</f>
        <v>#NAME?</v>
      </c>
      <c r="I567" s="18" t="n">
        <v>0</v>
      </c>
    </row>
    <row r="568" customFormat="false" ht="12.75" hidden="false" customHeight="false" outlineLevel="0" collapsed="false">
      <c r="A568" s="18" t="n">
        <f aca="false">A567+0.25</f>
        <v>2.5</v>
      </c>
      <c r="B568" s="18" t="n">
        <f aca="false">B567+0.25</f>
        <v>2.5</v>
      </c>
      <c r="C568" s="18" t="n">
        <v>27</v>
      </c>
      <c r="D568" s="18" t="n">
        <v>-95.3</v>
      </c>
      <c r="E568" s="18" t="n">
        <v>75</v>
      </c>
      <c r="F568" s="18" t="n">
        <f aca="false">E568*0.5144</f>
        <v>38.58</v>
      </c>
      <c r="G568" s="22" t="e">
        <f aca="false">arclethnm(C567,D567,C568,D568)/6</f>
        <v>#NAME?</v>
      </c>
      <c r="H568" s="22" t="e">
        <f aca="false">G568*0.5144</f>
        <v>#NAME?</v>
      </c>
      <c r="I568" s="18" t="n">
        <v>0</v>
      </c>
    </row>
    <row r="569" customFormat="false" ht="12.75" hidden="false" customHeight="false" outlineLevel="0" collapsed="false">
      <c r="A569" s="18" t="n">
        <f aca="false">A568+0.25</f>
        <v>2.75</v>
      </c>
      <c r="B569" s="18" t="n">
        <f aca="false">B568+0.25</f>
        <v>2.75</v>
      </c>
      <c r="C569" s="18" t="n">
        <v>27.8</v>
      </c>
      <c r="D569" s="18" t="n">
        <v>-96</v>
      </c>
      <c r="E569" s="18" t="n">
        <v>80</v>
      </c>
      <c r="F569" s="18" t="n">
        <f aca="false">E569*0.5144</f>
        <v>41.152</v>
      </c>
      <c r="G569" s="22" t="e">
        <f aca="false">arclethnm(C568,D568,C569,D569)/6</f>
        <v>#NAME?</v>
      </c>
      <c r="H569" s="22" t="e">
        <f aca="false">G569*0.5144</f>
        <v>#NAME?</v>
      </c>
      <c r="I569" s="18" t="n">
        <v>982</v>
      </c>
    </row>
    <row r="570" customFormat="false" ht="12.75" hidden="false" customHeight="false" outlineLevel="0" collapsed="false">
      <c r="A570" s="18" t="n">
        <f aca="false">A569+0.25</f>
        <v>3</v>
      </c>
      <c r="B570" s="18" t="n">
        <f aca="false">B569+0.25</f>
        <v>3</v>
      </c>
      <c r="C570" s="18" t="n">
        <v>28.3</v>
      </c>
      <c r="D570" s="18" t="n">
        <v>-96.4</v>
      </c>
      <c r="E570" s="18" t="n">
        <v>80</v>
      </c>
      <c r="F570" s="18" t="n">
        <f aca="false">E570*0.5144</f>
        <v>41.152</v>
      </c>
      <c r="G570" s="22" t="e">
        <f aca="false">arclethnm(C569,D569,C570,D570)/6</f>
        <v>#NAME?</v>
      </c>
      <c r="H570" s="22" t="e">
        <f aca="false">G570*0.5144</f>
        <v>#NAME?</v>
      </c>
      <c r="I570" s="18" t="n">
        <v>982</v>
      </c>
    </row>
    <row r="571" customFormat="false" ht="12.75" hidden="false" customHeight="false" outlineLevel="0" collapsed="false">
      <c r="A571" s="18" t="n">
        <f aca="false">A570+0.25</f>
        <v>3.25</v>
      </c>
      <c r="B571" s="18" t="n">
        <f aca="false">B570+0.25</f>
        <v>3.25</v>
      </c>
      <c r="C571" s="18" t="n">
        <v>28.8</v>
      </c>
      <c r="D571" s="18" t="n">
        <v>-97.1</v>
      </c>
      <c r="E571" s="18" t="n">
        <v>65</v>
      </c>
      <c r="F571" s="18" t="n">
        <f aca="false">E571*0.5144</f>
        <v>33.436</v>
      </c>
      <c r="G571" s="22" t="e">
        <f aca="false">arclethnm(C570,D570,C571,D571)/6</f>
        <v>#NAME?</v>
      </c>
      <c r="H571" s="22" t="e">
        <f aca="false">G571*0.5144</f>
        <v>#NAME?</v>
      </c>
      <c r="I571" s="18" t="n">
        <v>985</v>
      </c>
    </row>
    <row r="572" customFormat="false" ht="12.75" hidden="false" customHeight="false" outlineLevel="0" collapsed="false">
      <c r="A572" s="18" t="n">
        <f aca="false">A571+0.25</f>
        <v>3.5</v>
      </c>
      <c r="B572" s="18" t="n">
        <f aca="false">B571+0.25</f>
        <v>3.5</v>
      </c>
      <c r="C572" s="18" t="n">
        <v>29.4</v>
      </c>
      <c r="D572" s="18" t="n">
        <v>-98.7</v>
      </c>
      <c r="E572" s="18" t="n">
        <v>55</v>
      </c>
      <c r="F572" s="18" t="n">
        <f aca="false">E572*0.5144</f>
        <v>28.292</v>
      </c>
      <c r="G572" s="22" t="e">
        <f aca="false">arclethnm(C571,D571,C572,D572)/6</f>
        <v>#NAME?</v>
      </c>
      <c r="H572" s="22" t="e">
        <f aca="false">G572*0.5144</f>
        <v>#NAME?</v>
      </c>
      <c r="I572" s="18" t="n">
        <v>0</v>
      </c>
    </row>
    <row r="573" customFormat="false" ht="12.75" hidden="false" customHeight="false" outlineLevel="0" collapsed="false">
      <c r="A573" s="18" t="n">
        <f aca="false">A572+0.25</f>
        <v>3.75</v>
      </c>
      <c r="B573" s="18" t="n">
        <f aca="false">B572+0.25</f>
        <v>3.75</v>
      </c>
      <c r="C573" s="18" t="n">
        <v>30</v>
      </c>
      <c r="D573" s="18" t="n">
        <v>-101</v>
      </c>
      <c r="E573" s="18" t="n">
        <v>50</v>
      </c>
      <c r="F573" s="18" t="n">
        <f aca="false">E573*0.5144</f>
        <v>25.72</v>
      </c>
      <c r="G573" s="22" t="e">
        <f aca="false">arclethnm(C572,D572,C573,D573)/6</f>
        <v>#NAME?</v>
      </c>
      <c r="H573" s="22" t="e">
        <f aca="false">G573*0.5144</f>
        <v>#NAME?</v>
      </c>
      <c r="I573" s="18" t="n">
        <v>0</v>
      </c>
    </row>
    <row r="574" customFormat="false" ht="12.75" hidden="false" customHeight="false" outlineLevel="0" collapsed="false">
      <c r="A574" s="18" t="n">
        <f aca="false">A573+0.25</f>
        <v>4</v>
      </c>
      <c r="B574" s="18" t="n">
        <f aca="false">B573+0.25</f>
        <v>4</v>
      </c>
      <c r="C574" s="18" t="n">
        <v>30.8</v>
      </c>
      <c r="D574" s="18" t="n">
        <v>-103.5</v>
      </c>
      <c r="E574" s="18" t="n">
        <v>45</v>
      </c>
      <c r="F574" s="18" t="n">
        <f aca="false">E574*0.5144</f>
        <v>23.148</v>
      </c>
      <c r="G574" s="22" t="e">
        <f aca="false">arclethnm(C573,D573,C574,D574)/6</f>
        <v>#NAME?</v>
      </c>
      <c r="H574" s="22" t="e">
        <f aca="false">G574*0.5144</f>
        <v>#NAME?</v>
      </c>
      <c r="I574" s="18" t="n">
        <v>0</v>
      </c>
    </row>
    <row r="575" customFormat="false" ht="12.75" hidden="false" customHeight="false" outlineLevel="0" collapsed="false">
      <c r="A575" s="18" t="n">
        <f aca="false">A574+0.25</f>
        <v>4.25</v>
      </c>
      <c r="B575" s="18" t="n">
        <f aca="false">B574+0.25</f>
        <v>4.25</v>
      </c>
      <c r="C575" s="18" t="n">
        <v>31.8</v>
      </c>
      <c r="D575" s="18" t="n">
        <v>-106.5</v>
      </c>
      <c r="E575" s="18" t="n">
        <v>40</v>
      </c>
      <c r="F575" s="18" t="n">
        <f aca="false">E575*0.5144</f>
        <v>20.576</v>
      </c>
      <c r="G575" s="22" t="e">
        <f aca="false">arclethnm(C574,D574,C575,D575)/6</f>
        <v>#NAME?</v>
      </c>
      <c r="H575" s="22" t="e">
        <f aca="false">G575*0.5144</f>
        <v>#NAME?</v>
      </c>
      <c r="I575" s="18" t="n">
        <v>1008</v>
      </c>
    </row>
    <row r="576" customFormat="false" ht="12.75" hidden="false" customHeight="false" outlineLevel="0" collapsed="false">
      <c r="A576" s="18" t="n">
        <f aca="false">A575+0.25</f>
        <v>4.5</v>
      </c>
      <c r="B576" s="18" t="n">
        <f aca="false">B575+0.25</f>
        <v>4.5</v>
      </c>
      <c r="C576" s="18" t="n">
        <v>33</v>
      </c>
      <c r="D576" s="18" t="n">
        <v>-109.5</v>
      </c>
      <c r="E576" s="18" t="n">
        <v>30</v>
      </c>
      <c r="F576" s="18" t="n">
        <f aca="false">E576*0.5144</f>
        <v>15.432</v>
      </c>
      <c r="G576" s="22" t="e">
        <f aca="false">arclethnm(C575,D575,C576,D576)/6</f>
        <v>#NAME?</v>
      </c>
      <c r="H576" s="22" t="e">
        <f aca="false">G576*0.5144</f>
        <v>#NAME?</v>
      </c>
      <c r="I576" s="18" t="n">
        <v>0</v>
      </c>
    </row>
    <row r="577" customFormat="false" ht="12.75" hidden="false" customHeight="false" outlineLevel="0" collapsed="false">
      <c r="A577" s="0"/>
      <c r="B577" s="0"/>
      <c r="C577" s="0"/>
      <c r="D577" s="0"/>
      <c r="E577" s="0"/>
      <c r="F577" s="0"/>
      <c r="G577" s="22"/>
      <c r="H577" s="22"/>
      <c r="I577" s="0"/>
    </row>
    <row r="578" customFormat="false" ht="12.75" hidden="false" customHeight="false" outlineLevel="0" collapsed="false">
      <c r="A578" s="0"/>
      <c r="B578" s="0"/>
      <c r="C578" s="0"/>
      <c r="D578" s="0"/>
      <c r="E578" s="0"/>
      <c r="F578" s="0"/>
      <c r="G578" s="22"/>
      <c r="H578" s="22"/>
      <c r="I578" s="0"/>
    </row>
    <row r="579" customFormat="false" ht="12.75" hidden="false" customHeight="false" outlineLevel="0" collapsed="false">
      <c r="A579" s="0"/>
      <c r="B579" s="0"/>
      <c r="C579" s="0"/>
      <c r="D579" s="0"/>
      <c r="E579" s="0"/>
      <c r="F579" s="0"/>
      <c r="G579" s="22"/>
      <c r="H579" s="22"/>
      <c r="I579" s="0"/>
    </row>
    <row r="580" customFormat="false" ht="12.75" hidden="false" customHeight="false" outlineLevel="0" collapsed="false">
      <c r="A580" s="0"/>
      <c r="B580" s="18" t="n">
        <v>1932</v>
      </c>
      <c r="C580" s="0"/>
      <c r="D580" s="0"/>
      <c r="E580" s="0"/>
      <c r="F580" s="0"/>
      <c r="G580" s="22"/>
      <c r="H580" s="22"/>
      <c r="I580" s="0"/>
    </row>
    <row r="581" customFormat="false" ht="12.75" hidden="false" customHeight="false" outlineLevel="0" collapsed="false">
      <c r="A581" s="18" t="n">
        <v>1</v>
      </c>
      <c r="B581" s="18" t="n">
        <v>1</v>
      </c>
      <c r="C581" s="18" t="n">
        <v>22</v>
      </c>
      <c r="D581" s="18" t="n">
        <v>-90.3</v>
      </c>
      <c r="E581" s="18" t="n">
        <v>35</v>
      </c>
      <c r="F581" s="18" t="n">
        <f aca="false">E581*0.5144</f>
        <v>18.004</v>
      </c>
      <c r="G581" s="22"/>
      <c r="H581" s="22"/>
      <c r="I581" s="18" t="n">
        <v>0</v>
      </c>
    </row>
    <row r="582" customFormat="false" ht="12.75" hidden="false" customHeight="false" outlineLevel="0" collapsed="false">
      <c r="A582" s="18" t="n">
        <f aca="false">A581+0.25</f>
        <v>1.25</v>
      </c>
      <c r="B582" s="18" t="n">
        <f aca="false">B581+0.25</f>
        <v>1.25</v>
      </c>
      <c r="C582" s="18" t="n">
        <v>23</v>
      </c>
      <c r="D582" s="18" t="n">
        <v>-90.8</v>
      </c>
      <c r="E582" s="18" t="n">
        <v>40</v>
      </c>
      <c r="F582" s="18" t="n">
        <f aca="false">E582*0.5144</f>
        <v>20.576</v>
      </c>
      <c r="G582" s="22" t="e">
        <f aca="false">arclethnm(C581,D581,C582,D582)/6</f>
        <v>#NAME?</v>
      </c>
      <c r="H582" s="22" t="e">
        <f aca="false">G582*0.5144</f>
        <v>#NAME?</v>
      </c>
      <c r="I582" s="18" t="n">
        <v>0</v>
      </c>
    </row>
    <row r="583" customFormat="false" ht="12.75" hidden="false" customHeight="false" outlineLevel="0" collapsed="false">
      <c r="A583" s="18" t="n">
        <f aca="false">A582+0.25</f>
        <v>1.5</v>
      </c>
      <c r="B583" s="18" t="n">
        <f aca="false">B582+0.25</f>
        <v>1.5</v>
      </c>
      <c r="C583" s="18" t="n">
        <v>24</v>
      </c>
      <c r="D583" s="18" t="n">
        <v>-91.3</v>
      </c>
      <c r="E583" s="18" t="n">
        <v>45</v>
      </c>
      <c r="F583" s="18" t="n">
        <f aca="false">E583*0.5144</f>
        <v>23.148</v>
      </c>
      <c r="G583" s="22" t="e">
        <f aca="false">arclethnm(C582,D582,C583,D583)/6</f>
        <v>#NAME?</v>
      </c>
      <c r="H583" s="22" t="e">
        <f aca="false">G583*0.5144</f>
        <v>#NAME?</v>
      </c>
      <c r="I583" s="18" t="n">
        <v>0</v>
      </c>
    </row>
    <row r="584" customFormat="false" ht="12.75" hidden="false" customHeight="false" outlineLevel="0" collapsed="false">
      <c r="A584" s="18" t="n">
        <f aca="false">A583+0.25</f>
        <v>1.75</v>
      </c>
      <c r="B584" s="18" t="n">
        <f aca="false">B583+0.25</f>
        <v>1.75</v>
      </c>
      <c r="C584" s="18" t="n">
        <v>24.7</v>
      </c>
      <c r="D584" s="18" t="n">
        <v>-91.7</v>
      </c>
      <c r="E584" s="18" t="n">
        <v>50</v>
      </c>
      <c r="F584" s="18" t="n">
        <f aca="false">E584*0.5144</f>
        <v>25.72</v>
      </c>
      <c r="G584" s="22" t="e">
        <f aca="false">arclethnm(C583,D583,C584,D584)/6</f>
        <v>#NAME?</v>
      </c>
      <c r="H584" s="22" t="e">
        <f aca="false">G584*0.5144</f>
        <v>#NAME?</v>
      </c>
      <c r="I584" s="18" t="n">
        <v>0</v>
      </c>
    </row>
    <row r="585" customFormat="false" ht="12.75" hidden="false" customHeight="false" outlineLevel="0" collapsed="false">
      <c r="A585" s="18" t="n">
        <f aca="false">A584+0.25</f>
        <v>2</v>
      </c>
      <c r="B585" s="18" t="n">
        <f aca="false">B584+0.25</f>
        <v>2</v>
      </c>
      <c r="C585" s="18" t="n">
        <v>25.4</v>
      </c>
      <c r="D585" s="18" t="n">
        <v>-92.1</v>
      </c>
      <c r="E585" s="18" t="n">
        <v>55</v>
      </c>
      <c r="F585" s="18" t="n">
        <f aca="false">E585*0.5144</f>
        <v>28.292</v>
      </c>
      <c r="G585" s="22" t="e">
        <f aca="false">arclethnm(C584,D584,C585,D585)/6</f>
        <v>#NAME?</v>
      </c>
      <c r="H585" s="22" t="e">
        <f aca="false">G585*0.5144</f>
        <v>#NAME?</v>
      </c>
      <c r="I585" s="18" t="n">
        <v>0</v>
      </c>
    </row>
    <row r="586" customFormat="false" ht="12.75" hidden="false" customHeight="false" outlineLevel="0" collapsed="false">
      <c r="A586" s="18" t="n">
        <f aca="false">A585+0.25</f>
        <v>2.25</v>
      </c>
      <c r="B586" s="18" t="n">
        <f aca="false">B585+0.25</f>
        <v>2.25</v>
      </c>
      <c r="C586" s="18" t="n">
        <v>26.3</v>
      </c>
      <c r="D586" s="18" t="n">
        <v>-92.7</v>
      </c>
      <c r="E586" s="18" t="n">
        <v>65</v>
      </c>
      <c r="F586" s="18" t="n">
        <f aca="false">E586*0.5144</f>
        <v>33.436</v>
      </c>
      <c r="G586" s="22" t="e">
        <f aca="false">arclethnm(C585,D585,C586,D586)/6</f>
        <v>#NAME?</v>
      </c>
      <c r="H586" s="22" t="e">
        <f aca="false">G586*0.5144</f>
        <v>#NAME?</v>
      </c>
      <c r="I586" s="18" t="n">
        <v>0</v>
      </c>
    </row>
    <row r="587" customFormat="false" ht="12.75" hidden="false" customHeight="false" outlineLevel="0" collapsed="false">
      <c r="A587" s="18" t="n">
        <f aca="false">A586+0.25</f>
        <v>2.5</v>
      </c>
      <c r="B587" s="18" t="n">
        <f aca="false">B586+0.25</f>
        <v>2.5</v>
      </c>
      <c r="C587" s="18" t="n">
        <v>27.2</v>
      </c>
      <c r="D587" s="18" t="n">
        <v>-93.3</v>
      </c>
      <c r="E587" s="18" t="n">
        <v>90</v>
      </c>
      <c r="F587" s="18" t="n">
        <f aca="false">E587*0.5144</f>
        <v>46.296</v>
      </c>
      <c r="G587" s="22" t="e">
        <f aca="false">arclethnm(C586,D586,C587,D587)/6</f>
        <v>#NAME?</v>
      </c>
      <c r="H587" s="22" t="e">
        <f aca="false">G587*0.5144</f>
        <v>#NAME?</v>
      </c>
      <c r="I587" s="18" t="n">
        <v>0</v>
      </c>
    </row>
    <row r="588" customFormat="false" ht="12.75" hidden="false" customHeight="false" outlineLevel="0" collapsed="false">
      <c r="A588" s="18" t="n">
        <f aca="false">A587+0.25</f>
        <v>2.75</v>
      </c>
      <c r="B588" s="18" t="n">
        <f aca="false">B587+0.25</f>
        <v>2.75</v>
      </c>
      <c r="C588" s="18" t="n">
        <v>28.1</v>
      </c>
      <c r="D588" s="18" t="n">
        <v>-94</v>
      </c>
      <c r="E588" s="18" t="n">
        <v>110</v>
      </c>
      <c r="F588" s="18" t="n">
        <f aca="false">E588*0.5144</f>
        <v>56.584</v>
      </c>
      <c r="G588" s="22" t="e">
        <f aca="false">arclethnm(C587,D587,C588,D588)/6</f>
        <v>#NAME?</v>
      </c>
      <c r="H588" s="22" t="e">
        <f aca="false">G588*0.5144</f>
        <v>#NAME?</v>
      </c>
      <c r="I588" s="18" t="n">
        <v>0</v>
      </c>
    </row>
    <row r="589" customFormat="false" ht="12.75" hidden="false" customHeight="false" outlineLevel="0" collapsed="false">
      <c r="A589" s="18" t="n">
        <f aca="false">A588+0.25</f>
        <v>3</v>
      </c>
      <c r="B589" s="18" t="n">
        <f aca="false">B588+0.25</f>
        <v>3</v>
      </c>
      <c r="C589" s="18" t="n">
        <v>28.9</v>
      </c>
      <c r="D589" s="18" t="n">
        <v>-94.7</v>
      </c>
      <c r="E589" s="18" t="n">
        <v>125</v>
      </c>
      <c r="F589" s="18" t="n">
        <f aca="false">E589*0.5144</f>
        <v>64.3</v>
      </c>
      <c r="G589" s="22" t="e">
        <f aca="false">arclethnm(C588,D588,C589,D589)/6</f>
        <v>#NAME?</v>
      </c>
      <c r="H589" s="22" t="e">
        <f aca="false">G589*0.5144</f>
        <v>#NAME?</v>
      </c>
      <c r="I589" s="18" t="n">
        <v>942</v>
      </c>
    </row>
    <row r="590" customFormat="false" ht="12.75" hidden="false" customHeight="false" outlineLevel="0" collapsed="false">
      <c r="A590" s="18" t="n">
        <f aca="false">A589+0.25</f>
        <v>3.25</v>
      </c>
      <c r="B590" s="18" t="n">
        <f aca="false">B589+0.25</f>
        <v>3.25</v>
      </c>
      <c r="C590" s="18" t="n">
        <v>29.6</v>
      </c>
      <c r="D590" s="18" t="n">
        <v>-95.3</v>
      </c>
      <c r="E590" s="18" t="n">
        <v>90</v>
      </c>
      <c r="F590" s="18" t="n">
        <f aca="false">E590*0.5144</f>
        <v>46.296</v>
      </c>
      <c r="G590" s="22" t="e">
        <f aca="false">arclethnm(C589,D589,C590,D590)/6</f>
        <v>#NAME?</v>
      </c>
      <c r="H590" s="22" t="e">
        <f aca="false">G590*0.5144</f>
        <v>#NAME?</v>
      </c>
      <c r="I590" s="18" t="n">
        <v>0</v>
      </c>
    </row>
    <row r="591" customFormat="false" ht="12.75" hidden="false" customHeight="false" outlineLevel="0" collapsed="false">
      <c r="A591" s="18" t="n">
        <f aca="false">A590+0.25</f>
        <v>3.5</v>
      </c>
      <c r="B591" s="18" t="n">
        <f aca="false">B590+0.25</f>
        <v>3.5</v>
      </c>
      <c r="C591" s="18" t="n">
        <v>30.3</v>
      </c>
      <c r="D591" s="18" t="n">
        <v>-96</v>
      </c>
      <c r="E591" s="18" t="n">
        <v>60</v>
      </c>
      <c r="F591" s="18" t="n">
        <f aca="false">E591*0.5144</f>
        <v>30.864</v>
      </c>
      <c r="G591" s="22" t="e">
        <f aca="false">arclethnm(C590,D590,C591,D591)/6</f>
        <v>#NAME?</v>
      </c>
      <c r="H591" s="22" t="e">
        <f aca="false">G591*0.5144</f>
        <v>#NAME?</v>
      </c>
      <c r="I591" s="18" t="n">
        <v>987</v>
      </c>
    </row>
    <row r="592" customFormat="false" ht="12.75" hidden="false" customHeight="false" outlineLevel="0" collapsed="false">
      <c r="A592" s="18" t="n">
        <f aca="false">A591+0.25</f>
        <v>3.75</v>
      </c>
      <c r="B592" s="18" t="n">
        <f aca="false">B591+0.25</f>
        <v>3.75</v>
      </c>
      <c r="C592" s="18" t="n">
        <v>31</v>
      </c>
      <c r="D592" s="18" t="n">
        <v>-96.7</v>
      </c>
      <c r="E592" s="18" t="n">
        <v>35</v>
      </c>
      <c r="F592" s="18" t="n">
        <f aca="false">E592*0.5144</f>
        <v>18.004</v>
      </c>
      <c r="G592" s="22" t="e">
        <f aca="false">arclethnm(C591,D591,C592,D592)/6</f>
        <v>#NAME?</v>
      </c>
      <c r="H592" s="22" t="e">
        <f aca="false">G592*0.5144</f>
        <v>#NAME?</v>
      </c>
      <c r="I592" s="18" t="n">
        <v>0</v>
      </c>
    </row>
    <row r="593" customFormat="false" ht="12.75" hidden="false" customHeight="false" outlineLevel="0" collapsed="false">
      <c r="A593" s="18" t="n">
        <f aca="false">A592+0.25</f>
        <v>4</v>
      </c>
      <c r="B593" s="18" t="n">
        <f aca="false">B592+0.25</f>
        <v>4</v>
      </c>
      <c r="C593" s="18" t="n">
        <v>31.9</v>
      </c>
      <c r="D593" s="18" t="n">
        <v>-97.5</v>
      </c>
      <c r="E593" s="18" t="n">
        <v>25</v>
      </c>
      <c r="F593" s="18" t="n">
        <f aca="false">E593*0.5144</f>
        <v>12.86</v>
      </c>
      <c r="G593" s="22" t="e">
        <f aca="false">arclethnm(C592,D592,C593,D593)/6</f>
        <v>#NAME?</v>
      </c>
      <c r="H593" s="22" t="e">
        <f aca="false">G593*0.5144</f>
        <v>#NAME?</v>
      </c>
      <c r="I593" s="18" t="n">
        <v>1002</v>
      </c>
    </row>
    <row r="594" customFormat="false" ht="12.75" hidden="false" customHeight="false" outlineLevel="0" collapsed="false">
      <c r="A594" s="18" t="n">
        <f aca="false">A593+0.25</f>
        <v>4.25</v>
      </c>
      <c r="B594" s="18" t="n">
        <f aca="false">B593+0.25</f>
        <v>4.25</v>
      </c>
      <c r="C594" s="18" t="n">
        <v>32.9</v>
      </c>
      <c r="D594" s="18" t="n">
        <v>-98.4</v>
      </c>
      <c r="E594" s="18" t="n">
        <v>25</v>
      </c>
      <c r="F594" s="18" t="n">
        <f aca="false">E594*0.5144</f>
        <v>12.86</v>
      </c>
      <c r="G594" s="22" t="e">
        <f aca="false">arclethnm(C593,D593,C594,D594)/6</f>
        <v>#NAME?</v>
      </c>
      <c r="H594" s="22" t="e">
        <f aca="false">G594*0.5144</f>
        <v>#NAME?</v>
      </c>
      <c r="I594" s="18" t="n">
        <v>0</v>
      </c>
    </row>
    <row r="595" customFormat="false" ht="12.75" hidden="false" customHeight="false" outlineLevel="0" collapsed="false">
      <c r="A595" s="0"/>
      <c r="B595" s="0"/>
      <c r="C595" s="0"/>
      <c r="D595" s="0"/>
      <c r="E595" s="0"/>
      <c r="F595" s="0"/>
      <c r="G595" s="22"/>
      <c r="H595" s="22"/>
      <c r="I595" s="0"/>
    </row>
    <row r="596" customFormat="false" ht="12.75" hidden="false" customHeight="false" outlineLevel="0" collapsed="false">
      <c r="A596" s="0"/>
      <c r="B596" s="0"/>
      <c r="C596" s="0"/>
      <c r="D596" s="0"/>
      <c r="E596" s="0"/>
      <c r="F596" s="0"/>
      <c r="G596" s="22"/>
      <c r="H596" s="22"/>
      <c r="I596" s="0"/>
    </row>
    <row r="597" customFormat="false" ht="12.75" hidden="false" customHeight="false" outlineLevel="0" collapsed="false">
      <c r="A597" s="0"/>
      <c r="B597" s="0"/>
      <c r="C597" s="0"/>
      <c r="D597" s="0"/>
      <c r="E597" s="0"/>
      <c r="F597" s="0"/>
      <c r="G597" s="22"/>
      <c r="H597" s="22"/>
      <c r="I597" s="0"/>
    </row>
    <row r="598" customFormat="false" ht="12.75" hidden="false" customHeight="false" outlineLevel="0" collapsed="false">
      <c r="A598" s="0"/>
      <c r="B598" s="18" t="n">
        <v>1933</v>
      </c>
      <c r="C598" s="0"/>
      <c r="D598" s="0"/>
      <c r="E598" s="0"/>
      <c r="F598" s="0"/>
      <c r="G598" s="22"/>
      <c r="H598" s="22"/>
      <c r="I598" s="0"/>
    </row>
    <row r="599" customFormat="false" ht="12.75" hidden="false" customHeight="false" outlineLevel="0" collapsed="false">
      <c r="A599" s="18" t="n">
        <v>1</v>
      </c>
      <c r="B599" s="18" t="n">
        <v>1.25</v>
      </c>
      <c r="C599" s="18" t="n">
        <v>18.4</v>
      </c>
      <c r="D599" s="18" t="n">
        <v>-52.4</v>
      </c>
      <c r="E599" s="18" t="n">
        <v>35</v>
      </c>
      <c r="F599" s="18" t="n">
        <f aca="false">E599*0.5144</f>
        <v>18.004</v>
      </c>
      <c r="G599" s="22"/>
      <c r="H599" s="22"/>
      <c r="I599" s="18" t="n">
        <v>0</v>
      </c>
    </row>
    <row r="600" customFormat="false" ht="12.75" hidden="false" customHeight="false" outlineLevel="0" collapsed="false">
      <c r="A600" s="18" t="n">
        <f aca="false">B600-0.25</f>
        <v>1.25</v>
      </c>
      <c r="B600" s="18" t="n">
        <f aca="false">B599+0.25</f>
        <v>1.5</v>
      </c>
      <c r="C600" s="18" t="n">
        <v>18.4</v>
      </c>
      <c r="D600" s="18" t="n">
        <v>-55.3</v>
      </c>
      <c r="E600" s="18" t="n">
        <v>35</v>
      </c>
      <c r="F600" s="18" t="n">
        <f aca="false">E600*0.5144</f>
        <v>18.004</v>
      </c>
      <c r="G600" s="22" t="e">
        <f aca="false">arclethnm(C599,D599,C600,D600)/6</f>
        <v>#NAME?</v>
      </c>
      <c r="H600" s="22" t="e">
        <f aca="false">G600*0.5144</f>
        <v>#NAME?</v>
      </c>
      <c r="I600" s="18" t="n">
        <v>0</v>
      </c>
    </row>
    <row r="601" customFormat="false" ht="12.75" hidden="false" customHeight="false" outlineLevel="0" collapsed="false">
      <c r="A601" s="18" t="n">
        <f aca="false">B601-0.25</f>
        <v>1.5</v>
      </c>
      <c r="B601" s="18" t="n">
        <f aca="false">B600+0.25</f>
        <v>1.75</v>
      </c>
      <c r="C601" s="18" t="n">
        <v>18.5</v>
      </c>
      <c r="D601" s="18" t="n">
        <v>-57.1</v>
      </c>
      <c r="E601" s="18" t="n">
        <v>35</v>
      </c>
      <c r="F601" s="18" t="n">
        <f aca="false">E601*0.5144</f>
        <v>18.004</v>
      </c>
      <c r="G601" s="22" t="e">
        <f aca="false">arclethnm(C600,D600,C601,D601)/6</f>
        <v>#NAME?</v>
      </c>
      <c r="H601" s="22" t="e">
        <f aca="false">G601*0.5144</f>
        <v>#NAME?</v>
      </c>
      <c r="I601" s="18" t="n">
        <v>0</v>
      </c>
    </row>
    <row r="602" customFormat="false" ht="12.75" hidden="false" customHeight="false" outlineLevel="0" collapsed="false">
      <c r="A602" s="18" t="n">
        <f aca="false">B602-0.25</f>
        <v>1.75</v>
      </c>
      <c r="B602" s="18" t="n">
        <f aca="false">B601+0.25</f>
        <v>2</v>
      </c>
      <c r="C602" s="18" t="n">
        <v>18.7</v>
      </c>
      <c r="D602" s="18" t="n">
        <v>-59.2</v>
      </c>
      <c r="E602" s="18" t="n">
        <v>35</v>
      </c>
      <c r="F602" s="18" t="n">
        <f aca="false">E602*0.5144</f>
        <v>18.004</v>
      </c>
      <c r="G602" s="22" t="e">
        <f aca="false">arclethnm(C601,D601,C602,D602)/6</f>
        <v>#NAME?</v>
      </c>
      <c r="H602" s="22" t="e">
        <f aca="false">G602*0.5144</f>
        <v>#NAME?</v>
      </c>
      <c r="I602" s="18" t="n">
        <v>0</v>
      </c>
    </row>
    <row r="603" customFormat="false" ht="12.75" hidden="false" customHeight="false" outlineLevel="0" collapsed="false">
      <c r="A603" s="18" t="n">
        <f aca="false">B603-0.25</f>
        <v>2</v>
      </c>
      <c r="B603" s="18" t="n">
        <f aca="false">B602+0.25</f>
        <v>2.25</v>
      </c>
      <c r="C603" s="18" t="n">
        <v>18.9</v>
      </c>
      <c r="D603" s="18" t="n">
        <v>-61.3</v>
      </c>
      <c r="E603" s="18" t="n">
        <v>40</v>
      </c>
      <c r="F603" s="18" t="n">
        <f aca="false">E603*0.5144</f>
        <v>20.576</v>
      </c>
      <c r="G603" s="22" t="e">
        <f aca="false">arclethnm(C602,D602,C603,D603)/6</f>
        <v>#NAME?</v>
      </c>
      <c r="H603" s="22" t="e">
        <f aca="false">G603*0.5144</f>
        <v>#NAME?</v>
      </c>
      <c r="I603" s="18" t="n">
        <v>0</v>
      </c>
    </row>
    <row r="604" customFormat="false" ht="12.75" hidden="false" customHeight="false" outlineLevel="0" collapsed="false">
      <c r="A604" s="18" t="n">
        <f aca="false">B604-0.25</f>
        <v>2.25</v>
      </c>
      <c r="B604" s="18" t="n">
        <f aca="false">B603+0.25</f>
        <v>2.5</v>
      </c>
      <c r="C604" s="18" t="n">
        <v>19.2</v>
      </c>
      <c r="D604" s="18" t="n">
        <v>-63.4</v>
      </c>
      <c r="E604" s="18" t="n">
        <v>45</v>
      </c>
      <c r="F604" s="18" t="n">
        <f aca="false">E604*0.5144</f>
        <v>23.148</v>
      </c>
      <c r="G604" s="22" t="e">
        <f aca="false">arclethnm(C603,D603,C604,D604)/6</f>
        <v>#NAME?</v>
      </c>
      <c r="H604" s="22" t="e">
        <f aca="false">G604*0.5144</f>
        <v>#NAME?</v>
      </c>
      <c r="I604" s="18" t="n">
        <v>0</v>
      </c>
    </row>
    <row r="605" customFormat="false" ht="12.75" hidden="false" customHeight="false" outlineLevel="0" collapsed="false">
      <c r="A605" s="18" t="n">
        <f aca="false">B605-0.25</f>
        <v>2.5</v>
      </c>
      <c r="B605" s="18" t="n">
        <f aca="false">B604+0.25</f>
        <v>2.75</v>
      </c>
      <c r="C605" s="18" t="n">
        <v>19.9</v>
      </c>
      <c r="D605" s="18" t="n">
        <v>-64.9</v>
      </c>
      <c r="E605" s="18" t="n">
        <v>50</v>
      </c>
      <c r="F605" s="18" t="n">
        <f aca="false">E605*0.5144</f>
        <v>25.72</v>
      </c>
      <c r="G605" s="22" t="e">
        <f aca="false">arclethnm(C604,D604,C605,D605)/6</f>
        <v>#NAME?</v>
      </c>
      <c r="H605" s="22" t="e">
        <f aca="false">G605*0.5144</f>
        <v>#NAME?</v>
      </c>
      <c r="I605" s="18" t="n">
        <v>0</v>
      </c>
    </row>
    <row r="606" customFormat="false" ht="12.75" hidden="false" customHeight="false" outlineLevel="0" collapsed="false">
      <c r="A606" s="18" t="n">
        <f aca="false">B606-0.25</f>
        <v>2.75</v>
      </c>
      <c r="B606" s="18" t="n">
        <f aca="false">B605+0.25</f>
        <v>3</v>
      </c>
      <c r="C606" s="18" t="n">
        <v>20.7</v>
      </c>
      <c r="D606" s="18" t="n">
        <v>-66.2</v>
      </c>
      <c r="E606" s="18" t="n">
        <v>50</v>
      </c>
      <c r="F606" s="18" t="n">
        <f aca="false">E606*0.5144</f>
        <v>25.72</v>
      </c>
      <c r="G606" s="22" t="e">
        <f aca="false">arclethnm(C605,D605,C606,D606)/6</f>
        <v>#NAME?</v>
      </c>
      <c r="H606" s="22" t="e">
        <f aca="false">G606*0.5144</f>
        <v>#NAME?</v>
      </c>
      <c r="I606" s="18" t="n">
        <v>0</v>
      </c>
    </row>
    <row r="607" customFormat="false" ht="12.75" hidden="false" customHeight="false" outlineLevel="0" collapsed="false">
      <c r="A607" s="18" t="n">
        <f aca="false">B607-0.25</f>
        <v>3</v>
      </c>
      <c r="B607" s="18" t="n">
        <f aca="false">B606+0.25</f>
        <v>3.25</v>
      </c>
      <c r="C607" s="18" t="n">
        <v>21.3</v>
      </c>
      <c r="D607" s="18" t="n">
        <v>-68</v>
      </c>
      <c r="E607" s="18" t="n">
        <v>55</v>
      </c>
      <c r="F607" s="18" t="n">
        <f aca="false">E607*0.5144</f>
        <v>28.292</v>
      </c>
      <c r="G607" s="22" t="e">
        <f aca="false">arclethnm(C606,D606,C607,D607)/6</f>
        <v>#NAME?</v>
      </c>
      <c r="H607" s="22" t="e">
        <f aca="false">G607*0.5144</f>
        <v>#NAME?</v>
      </c>
      <c r="I607" s="18" t="n">
        <v>0</v>
      </c>
    </row>
    <row r="608" customFormat="false" ht="12.75" hidden="false" customHeight="false" outlineLevel="0" collapsed="false">
      <c r="A608" s="18" t="n">
        <f aca="false">B608-0.25</f>
        <v>3.25</v>
      </c>
      <c r="B608" s="18" t="n">
        <f aca="false">B607+0.25</f>
        <v>3.5</v>
      </c>
      <c r="C608" s="18" t="n">
        <v>21.7</v>
      </c>
      <c r="D608" s="18" t="n">
        <v>-69.6</v>
      </c>
      <c r="E608" s="18" t="n">
        <v>60</v>
      </c>
      <c r="F608" s="18" t="n">
        <f aca="false">E608*0.5144</f>
        <v>30.864</v>
      </c>
      <c r="G608" s="22" t="e">
        <f aca="false">arclethnm(C607,D607,C608,D608)/6</f>
        <v>#NAME?</v>
      </c>
      <c r="H608" s="22" t="e">
        <f aca="false">G608*0.5144</f>
        <v>#NAME?</v>
      </c>
      <c r="I608" s="18" t="n">
        <v>0</v>
      </c>
    </row>
    <row r="609" customFormat="false" ht="12.75" hidden="false" customHeight="false" outlineLevel="0" collapsed="false">
      <c r="A609" s="18" t="n">
        <f aca="false">B609-0.25</f>
        <v>3.5</v>
      </c>
      <c r="B609" s="18" t="n">
        <f aca="false">B608+0.25</f>
        <v>3.75</v>
      </c>
      <c r="C609" s="18" t="n">
        <v>21.9</v>
      </c>
      <c r="D609" s="18" t="n">
        <v>-70.5</v>
      </c>
      <c r="E609" s="18" t="n">
        <v>65</v>
      </c>
      <c r="F609" s="18" t="n">
        <f aca="false">E609*0.5144</f>
        <v>33.436</v>
      </c>
      <c r="G609" s="22" t="e">
        <f aca="false">arclethnm(C608,D608,C609,D609)/6</f>
        <v>#NAME?</v>
      </c>
      <c r="H609" s="22" t="e">
        <f aca="false">G609*0.5144</f>
        <v>#NAME?</v>
      </c>
      <c r="I609" s="18" t="n">
        <v>0</v>
      </c>
    </row>
    <row r="610" customFormat="false" ht="12.75" hidden="false" customHeight="false" outlineLevel="0" collapsed="false">
      <c r="A610" s="18" t="n">
        <f aca="false">B610-0.25</f>
        <v>3.75</v>
      </c>
      <c r="B610" s="18" t="n">
        <f aca="false">B609+0.25</f>
        <v>4</v>
      </c>
      <c r="C610" s="18" t="n">
        <v>22.1</v>
      </c>
      <c r="D610" s="18" t="n">
        <v>-71.3</v>
      </c>
      <c r="E610" s="18" t="n">
        <v>70</v>
      </c>
      <c r="F610" s="18" t="n">
        <f aca="false">E610*0.5144</f>
        <v>36.008</v>
      </c>
      <c r="G610" s="22" t="e">
        <f aca="false">arclethnm(C609,D609,C610,D610)/6</f>
        <v>#NAME?</v>
      </c>
      <c r="H610" s="22" t="e">
        <f aca="false">G610*0.5144</f>
        <v>#NAME?</v>
      </c>
      <c r="I610" s="18" t="n">
        <v>0</v>
      </c>
    </row>
    <row r="611" customFormat="false" ht="12.75" hidden="false" customHeight="false" outlineLevel="0" collapsed="false">
      <c r="A611" s="18" t="n">
        <f aca="false">B611-0.25</f>
        <v>4</v>
      </c>
      <c r="B611" s="18" t="n">
        <f aca="false">B610+0.25</f>
        <v>4.25</v>
      </c>
      <c r="C611" s="18" t="n">
        <v>22.3</v>
      </c>
      <c r="D611" s="18" t="n">
        <v>-72.3</v>
      </c>
      <c r="E611" s="18" t="n">
        <v>70</v>
      </c>
      <c r="F611" s="18" t="n">
        <f aca="false">E611*0.5144</f>
        <v>36.008</v>
      </c>
      <c r="G611" s="22" t="e">
        <f aca="false">arclethnm(C610,D610,C611,D611)/6</f>
        <v>#NAME?</v>
      </c>
      <c r="H611" s="22" t="e">
        <f aca="false">G611*0.5144</f>
        <v>#NAME?</v>
      </c>
      <c r="I611" s="18" t="n">
        <v>0</v>
      </c>
    </row>
    <row r="612" customFormat="false" ht="12.75" hidden="false" customHeight="false" outlineLevel="0" collapsed="false">
      <c r="A612" s="18" t="n">
        <f aca="false">B612-0.25</f>
        <v>4.25</v>
      </c>
      <c r="B612" s="18" t="n">
        <f aca="false">B611+0.25</f>
        <v>4.5</v>
      </c>
      <c r="C612" s="18" t="n">
        <v>22.4</v>
      </c>
      <c r="D612" s="18" t="n">
        <v>-73.5</v>
      </c>
      <c r="E612" s="18" t="n">
        <v>75</v>
      </c>
      <c r="F612" s="18" t="n">
        <f aca="false">E612*0.5144</f>
        <v>38.58</v>
      </c>
      <c r="G612" s="22" t="e">
        <f aca="false">arclethnm(C611,D611,C612,D612)/6</f>
        <v>#NAME?</v>
      </c>
      <c r="H612" s="22" t="e">
        <f aca="false">G612*0.5144</f>
        <v>#NAME?</v>
      </c>
      <c r="I612" s="18" t="n">
        <v>0</v>
      </c>
    </row>
    <row r="613" customFormat="false" ht="12.75" hidden="false" customHeight="false" outlineLevel="0" collapsed="false">
      <c r="A613" s="18" t="n">
        <f aca="false">B613-0.25</f>
        <v>4.5</v>
      </c>
      <c r="B613" s="18" t="n">
        <f aca="false">B612+0.25</f>
        <v>4.75</v>
      </c>
      <c r="C613" s="18" t="n">
        <v>22.6</v>
      </c>
      <c r="D613" s="18" t="n">
        <v>-75.4</v>
      </c>
      <c r="E613" s="18" t="n">
        <v>75</v>
      </c>
      <c r="F613" s="18" t="n">
        <f aca="false">E613*0.5144</f>
        <v>38.58</v>
      </c>
      <c r="G613" s="22" t="e">
        <f aca="false">arclethnm(C612,D612,C613,D613)/6</f>
        <v>#NAME?</v>
      </c>
      <c r="H613" s="22" t="e">
        <f aca="false">G613*0.5144</f>
        <v>#NAME?</v>
      </c>
      <c r="I613" s="18" t="n">
        <v>0</v>
      </c>
    </row>
    <row r="614" customFormat="false" ht="12.75" hidden="false" customHeight="false" outlineLevel="0" collapsed="false">
      <c r="A614" s="18" t="n">
        <f aca="false">B614-0.25</f>
        <v>4.75</v>
      </c>
      <c r="B614" s="18" t="n">
        <f aca="false">B613+0.25</f>
        <v>5</v>
      </c>
      <c r="C614" s="18" t="n">
        <v>22.8</v>
      </c>
      <c r="D614" s="18" t="n">
        <v>-77.3</v>
      </c>
      <c r="E614" s="18" t="n">
        <v>80</v>
      </c>
      <c r="F614" s="18" t="n">
        <f aca="false">E614*0.5144</f>
        <v>41.152</v>
      </c>
      <c r="G614" s="22" t="e">
        <f aca="false">arclethnm(C613,D613,C614,D614)/6</f>
        <v>#NAME?</v>
      </c>
      <c r="H614" s="22" t="e">
        <f aca="false">G614*0.5144</f>
        <v>#NAME?</v>
      </c>
      <c r="I614" s="18" t="n">
        <v>0</v>
      </c>
    </row>
    <row r="615" customFormat="false" ht="12.75" hidden="false" customHeight="false" outlineLevel="0" collapsed="false">
      <c r="A615" s="18" t="n">
        <f aca="false">B615-0.25</f>
        <v>5</v>
      </c>
      <c r="B615" s="18" t="n">
        <f aca="false">B614+0.25</f>
        <v>5.25</v>
      </c>
      <c r="C615" s="18" t="n">
        <v>23.1</v>
      </c>
      <c r="D615" s="18" t="n">
        <v>-78.9</v>
      </c>
      <c r="E615" s="18" t="n">
        <v>80</v>
      </c>
      <c r="F615" s="18" t="n">
        <f aca="false">E615*0.5144</f>
        <v>41.152</v>
      </c>
      <c r="G615" s="22" t="e">
        <f aca="false">arclethnm(C614,D614,C615,D615)/6</f>
        <v>#NAME?</v>
      </c>
      <c r="H615" s="22" t="e">
        <f aca="false">G615*0.5144</f>
        <v>#NAME?</v>
      </c>
      <c r="I615" s="18" t="n">
        <v>0</v>
      </c>
    </row>
    <row r="616" customFormat="false" ht="12.75" hidden="false" customHeight="false" outlineLevel="0" collapsed="false">
      <c r="A616" s="18" t="n">
        <f aca="false">B616-0.25</f>
        <v>5.25</v>
      </c>
      <c r="B616" s="18" t="n">
        <f aca="false">B615+0.25</f>
        <v>5.5</v>
      </c>
      <c r="C616" s="18" t="n">
        <v>23.5</v>
      </c>
      <c r="D616" s="18" t="n">
        <v>-80.4</v>
      </c>
      <c r="E616" s="18" t="n">
        <v>85</v>
      </c>
      <c r="F616" s="18" t="n">
        <f aca="false">E616*0.5144</f>
        <v>43.724</v>
      </c>
      <c r="G616" s="22" t="e">
        <f aca="false">arclethnm(C615,D615,C616,D616)/6</f>
        <v>#NAME?</v>
      </c>
      <c r="H616" s="22" t="e">
        <f aca="false">G616*0.5144</f>
        <v>#NAME?</v>
      </c>
      <c r="I616" s="18" t="n">
        <v>0</v>
      </c>
    </row>
    <row r="617" customFormat="false" ht="12.75" hidden="false" customHeight="false" outlineLevel="0" collapsed="false">
      <c r="A617" s="18" t="n">
        <f aca="false">B617-0.25</f>
        <v>5.5</v>
      </c>
      <c r="B617" s="18" t="n">
        <f aca="false">B616+0.25</f>
        <v>5.75</v>
      </c>
      <c r="C617" s="18" t="n">
        <v>23.8</v>
      </c>
      <c r="D617" s="18" t="n">
        <v>-81.9</v>
      </c>
      <c r="E617" s="18" t="n">
        <v>90</v>
      </c>
      <c r="F617" s="18" t="n">
        <f aca="false">E617*0.5144</f>
        <v>46.296</v>
      </c>
      <c r="G617" s="22" t="e">
        <f aca="false">arclethnm(C616,D616,C617,D617)/6</f>
        <v>#NAME?</v>
      </c>
      <c r="H617" s="22" t="e">
        <f aca="false">G617*0.5144</f>
        <v>#NAME?</v>
      </c>
      <c r="I617" s="18" t="n">
        <v>0</v>
      </c>
    </row>
    <row r="618" customFormat="false" ht="12.75" hidden="false" customHeight="false" outlineLevel="0" collapsed="false">
      <c r="A618" s="18" t="n">
        <f aca="false">B618-0.25</f>
        <v>5.75</v>
      </c>
      <c r="B618" s="18" t="n">
        <f aca="false">B617+0.25</f>
        <v>6</v>
      </c>
      <c r="C618" s="18" t="n">
        <v>24</v>
      </c>
      <c r="D618" s="18" t="n">
        <v>-83.2</v>
      </c>
      <c r="E618" s="18" t="n">
        <v>90</v>
      </c>
      <c r="F618" s="18" t="n">
        <f aca="false">E618*0.5144</f>
        <v>46.296</v>
      </c>
      <c r="G618" s="22" t="e">
        <f aca="false">arclethnm(C617,D617,C618,D618)/6</f>
        <v>#NAME?</v>
      </c>
      <c r="H618" s="22" t="e">
        <f aca="false">G618*0.5144</f>
        <v>#NAME?</v>
      </c>
      <c r="I618" s="18" t="n">
        <v>0</v>
      </c>
    </row>
    <row r="619" customFormat="false" ht="12.75" hidden="false" customHeight="false" outlineLevel="0" collapsed="false">
      <c r="A619" s="18" t="n">
        <f aca="false">B619-0.25</f>
        <v>6</v>
      </c>
      <c r="B619" s="18" t="n">
        <f aca="false">B618+0.25</f>
        <v>6.25</v>
      </c>
      <c r="C619" s="18" t="n">
        <v>24.2</v>
      </c>
      <c r="D619" s="18" t="n">
        <v>-84.3</v>
      </c>
      <c r="E619" s="18" t="n">
        <v>95</v>
      </c>
      <c r="F619" s="18" t="n">
        <f aca="false">E619*0.5144</f>
        <v>48.868</v>
      </c>
      <c r="G619" s="22" t="e">
        <f aca="false">arclethnm(C618,D618,C619,D619)/6</f>
        <v>#NAME?</v>
      </c>
      <c r="H619" s="22" t="e">
        <f aca="false">G619*0.5144</f>
        <v>#NAME?</v>
      </c>
      <c r="I619" s="18" t="n">
        <v>0</v>
      </c>
    </row>
    <row r="620" customFormat="false" ht="12.75" hidden="false" customHeight="false" outlineLevel="0" collapsed="false">
      <c r="A620" s="18" t="n">
        <f aca="false">B620-0.25</f>
        <v>6.25</v>
      </c>
      <c r="B620" s="18" t="n">
        <f aca="false">B619+0.25</f>
        <v>6.5</v>
      </c>
      <c r="C620" s="18" t="n">
        <v>24.4</v>
      </c>
      <c r="D620" s="18" t="n">
        <v>-85.4</v>
      </c>
      <c r="E620" s="18" t="n">
        <v>100</v>
      </c>
      <c r="F620" s="18" t="n">
        <f aca="false">E620*0.5144</f>
        <v>51.44</v>
      </c>
      <c r="G620" s="22" t="e">
        <f aca="false">arclethnm(C619,D619,C620,D620)/6</f>
        <v>#NAME?</v>
      </c>
      <c r="H620" s="22" t="e">
        <f aca="false">G620*0.5144</f>
        <v>#NAME?</v>
      </c>
      <c r="I620" s="18" t="n">
        <v>0</v>
      </c>
    </row>
    <row r="621" customFormat="false" ht="12.75" hidden="false" customHeight="false" outlineLevel="0" collapsed="false">
      <c r="A621" s="18" t="n">
        <f aca="false">B621-0.25</f>
        <v>6.5</v>
      </c>
      <c r="B621" s="18" t="n">
        <f aca="false">B620+0.25</f>
        <v>6.75</v>
      </c>
      <c r="C621" s="18" t="n">
        <v>24.6</v>
      </c>
      <c r="D621" s="18" t="n">
        <v>-86.4</v>
      </c>
      <c r="E621" s="18" t="n">
        <v>100</v>
      </c>
      <c r="F621" s="18" t="n">
        <f aca="false">E621*0.5144</f>
        <v>51.44</v>
      </c>
      <c r="G621" s="22" t="e">
        <f aca="false">arclethnm(C620,D620,C621,D621)/6</f>
        <v>#NAME?</v>
      </c>
      <c r="H621" s="22" t="e">
        <f aca="false">G621*0.5144</f>
        <v>#NAME?</v>
      </c>
      <c r="I621" s="18" t="n">
        <v>0</v>
      </c>
    </row>
    <row r="622" customFormat="false" ht="12.75" hidden="false" customHeight="false" outlineLevel="0" collapsed="false">
      <c r="A622" s="18" t="n">
        <f aca="false">B622-0.25</f>
        <v>6.75</v>
      </c>
      <c r="B622" s="18" t="n">
        <f aca="false">B621+0.25</f>
        <v>7</v>
      </c>
      <c r="C622" s="18" t="n">
        <v>24.8</v>
      </c>
      <c r="D622" s="18" t="n">
        <v>-87.5</v>
      </c>
      <c r="E622" s="18" t="n">
        <v>105</v>
      </c>
      <c r="F622" s="18" t="n">
        <f aca="false">E622*0.5144</f>
        <v>54.012</v>
      </c>
      <c r="G622" s="22" t="e">
        <f aca="false">arclethnm(C621,D621,C622,D622)/6</f>
        <v>#NAME?</v>
      </c>
      <c r="H622" s="22" t="e">
        <f aca="false">G622*0.5144</f>
        <v>#NAME?</v>
      </c>
      <c r="I622" s="18" t="n">
        <v>0</v>
      </c>
    </row>
    <row r="623" customFormat="false" ht="12.75" hidden="false" customHeight="false" outlineLevel="0" collapsed="false">
      <c r="A623" s="18" t="n">
        <f aca="false">B623-0.25</f>
        <v>7</v>
      </c>
      <c r="B623" s="18" t="n">
        <f aca="false">B622+0.25</f>
        <v>7.25</v>
      </c>
      <c r="C623" s="18" t="n">
        <v>25</v>
      </c>
      <c r="D623" s="18" t="n">
        <v>-88.7</v>
      </c>
      <c r="E623" s="18" t="n">
        <v>105</v>
      </c>
      <c r="F623" s="18" t="n">
        <f aca="false">E623*0.5144</f>
        <v>54.012</v>
      </c>
      <c r="G623" s="22" t="e">
        <f aca="false">arclethnm(C622,D622,C623,D623)/6</f>
        <v>#NAME?</v>
      </c>
      <c r="H623" s="22" t="e">
        <f aca="false">G623*0.5144</f>
        <v>#NAME?</v>
      </c>
      <c r="I623" s="18" t="n">
        <v>0</v>
      </c>
    </row>
    <row r="624" customFormat="false" ht="12.75" hidden="false" customHeight="false" outlineLevel="0" collapsed="false">
      <c r="A624" s="18" t="n">
        <f aca="false">B624-0.25</f>
        <v>7.25</v>
      </c>
      <c r="B624" s="18" t="n">
        <f aca="false">B623+0.25</f>
        <v>7.5</v>
      </c>
      <c r="C624" s="18" t="n">
        <v>25.3</v>
      </c>
      <c r="D624" s="18" t="n">
        <v>-89.9</v>
      </c>
      <c r="E624" s="18" t="n">
        <v>110</v>
      </c>
      <c r="F624" s="18" t="n">
        <f aca="false">E624*0.5144</f>
        <v>56.584</v>
      </c>
      <c r="G624" s="22" t="e">
        <f aca="false">arclethnm(C623,D623,C624,D624)/6</f>
        <v>#NAME?</v>
      </c>
      <c r="H624" s="22" t="e">
        <f aca="false">G624*0.5144</f>
        <v>#NAME?</v>
      </c>
      <c r="I624" s="18" t="n">
        <v>0</v>
      </c>
    </row>
    <row r="625" customFormat="false" ht="12.75" hidden="false" customHeight="false" outlineLevel="0" collapsed="false">
      <c r="A625" s="18" t="n">
        <f aca="false">B625-0.25</f>
        <v>7.5</v>
      </c>
      <c r="B625" s="18" t="n">
        <f aca="false">B624+0.25</f>
        <v>7.75</v>
      </c>
      <c r="C625" s="18" t="n">
        <v>25.6</v>
      </c>
      <c r="D625" s="18" t="n">
        <v>-91.2</v>
      </c>
      <c r="E625" s="18" t="n">
        <v>110</v>
      </c>
      <c r="F625" s="18" t="n">
        <f aca="false">E625*0.5144</f>
        <v>56.584</v>
      </c>
      <c r="G625" s="22" t="e">
        <f aca="false">arclethnm(C624,D624,C625,D625)/6</f>
        <v>#NAME?</v>
      </c>
      <c r="H625" s="22" t="e">
        <f aca="false">G625*0.5144</f>
        <v>#NAME?</v>
      </c>
      <c r="I625" s="18" t="n">
        <v>0</v>
      </c>
    </row>
    <row r="626" customFormat="false" ht="12.75" hidden="false" customHeight="false" outlineLevel="0" collapsed="false">
      <c r="A626" s="18" t="n">
        <f aca="false">B626-0.25</f>
        <v>7.75</v>
      </c>
      <c r="B626" s="18" t="n">
        <f aca="false">B625+0.25</f>
        <v>8</v>
      </c>
      <c r="C626" s="18" t="n">
        <v>25.9</v>
      </c>
      <c r="D626" s="18" t="n">
        <v>-92.4</v>
      </c>
      <c r="E626" s="18" t="n">
        <v>110</v>
      </c>
      <c r="F626" s="18" t="n">
        <f aca="false">E626*0.5144</f>
        <v>56.584</v>
      </c>
      <c r="G626" s="22" t="e">
        <f aca="false">arclethnm(C625,D625,C626,D626)/6</f>
        <v>#NAME?</v>
      </c>
      <c r="H626" s="22" t="e">
        <f aca="false">G626*0.5144</f>
        <v>#NAME?</v>
      </c>
      <c r="I626" s="18" t="n">
        <v>0</v>
      </c>
    </row>
    <row r="627" customFormat="false" ht="12.75" hidden="false" customHeight="false" outlineLevel="0" collapsed="false">
      <c r="A627" s="18" t="n">
        <f aca="false">B627-0.25</f>
        <v>8</v>
      </c>
      <c r="B627" s="18" t="n">
        <f aca="false">B626+0.25</f>
        <v>8.25</v>
      </c>
      <c r="C627" s="18" t="n">
        <v>26</v>
      </c>
      <c r="D627" s="18" t="n">
        <v>-93.7</v>
      </c>
      <c r="E627" s="18" t="n">
        <v>110</v>
      </c>
      <c r="F627" s="18" t="n">
        <f aca="false">E627*0.5144</f>
        <v>56.584</v>
      </c>
      <c r="G627" s="22" t="e">
        <f aca="false">arclethnm(C626,D626,C627,D627)/6</f>
        <v>#NAME?</v>
      </c>
      <c r="H627" s="22" t="e">
        <f aca="false">G627*0.5144</f>
        <v>#NAME?</v>
      </c>
      <c r="I627" s="18" t="n">
        <v>0</v>
      </c>
    </row>
    <row r="628" customFormat="false" ht="12.75" hidden="false" customHeight="false" outlineLevel="0" collapsed="false">
      <c r="A628" s="18" t="n">
        <f aca="false">B628-0.25</f>
        <v>8.25</v>
      </c>
      <c r="B628" s="18" t="n">
        <f aca="false">B627+0.25</f>
        <v>8.5</v>
      </c>
      <c r="C628" s="18" t="n">
        <v>26.1</v>
      </c>
      <c r="D628" s="18" t="n">
        <v>-94.9</v>
      </c>
      <c r="E628" s="18" t="n">
        <v>105</v>
      </c>
      <c r="F628" s="18" t="n">
        <f aca="false">E628*0.5144</f>
        <v>54.012</v>
      </c>
      <c r="G628" s="22" t="e">
        <f aca="false">arclethnm(C627,D627,C628,D628)/6</f>
        <v>#NAME?</v>
      </c>
      <c r="H628" s="22" t="e">
        <f aca="false">G628*0.5144</f>
        <v>#NAME?</v>
      </c>
      <c r="I628" s="18" t="n">
        <v>0</v>
      </c>
    </row>
    <row r="629" customFormat="false" ht="12.75" hidden="false" customHeight="false" outlineLevel="0" collapsed="false">
      <c r="A629" s="18" t="n">
        <f aca="false">B629-0.25</f>
        <v>8.5</v>
      </c>
      <c r="B629" s="18" t="n">
        <f aca="false">B628+0.25</f>
        <v>8.75</v>
      </c>
      <c r="C629" s="18" t="n">
        <v>26.2</v>
      </c>
      <c r="D629" s="18" t="n">
        <v>-95.8</v>
      </c>
      <c r="E629" s="18" t="n">
        <v>95</v>
      </c>
      <c r="F629" s="18" t="n">
        <f aca="false">E629*0.5144</f>
        <v>48.868</v>
      </c>
      <c r="G629" s="22" t="e">
        <f aca="false">arclethnm(C628,D628,C629,D629)/6</f>
        <v>#NAME?</v>
      </c>
      <c r="H629" s="22" t="e">
        <f aca="false">G629*0.5144</f>
        <v>#NAME?</v>
      </c>
      <c r="I629" s="18" t="n">
        <v>0</v>
      </c>
    </row>
    <row r="630" customFormat="false" ht="12.75" hidden="false" customHeight="false" outlineLevel="0" collapsed="false">
      <c r="A630" s="18" t="n">
        <f aca="false">B630-0.25</f>
        <v>8.75</v>
      </c>
      <c r="B630" s="18" t="n">
        <f aca="false">B629+0.25</f>
        <v>9</v>
      </c>
      <c r="C630" s="18" t="n">
        <v>26.2</v>
      </c>
      <c r="D630" s="18" t="n">
        <v>-96.6</v>
      </c>
      <c r="E630" s="18" t="n">
        <v>85</v>
      </c>
      <c r="F630" s="18" t="n">
        <f aca="false">E630*0.5144</f>
        <v>43.724</v>
      </c>
      <c r="G630" s="22" t="e">
        <f aca="false">arclethnm(C629,D629,C630,D630)/6</f>
        <v>#NAME?</v>
      </c>
      <c r="H630" s="22" t="e">
        <f aca="false">G630*0.5144</f>
        <v>#NAME?</v>
      </c>
      <c r="I630" s="18" t="n">
        <v>0</v>
      </c>
    </row>
    <row r="631" customFormat="false" ht="12.75" hidden="false" customHeight="false" outlineLevel="0" collapsed="false">
      <c r="A631" s="18" t="n">
        <f aca="false">B631-0.25</f>
        <v>9</v>
      </c>
      <c r="B631" s="18" t="n">
        <f aca="false">B630+0.25</f>
        <v>9.25</v>
      </c>
      <c r="C631" s="18" t="n">
        <v>26.1</v>
      </c>
      <c r="D631" s="18" t="n">
        <v>-97.5</v>
      </c>
      <c r="E631" s="18" t="n">
        <v>80</v>
      </c>
      <c r="F631" s="18" t="n">
        <f aca="false">E631*0.5144</f>
        <v>41.152</v>
      </c>
      <c r="G631" s="22" t="e">
        <f aca="false">arclethnm(C630,D630,C631,D631)/6</f>
        <v>#NAME?</v>
      </c>
      <c r="H631" s="22" t="e">
        <f aca="false">G631*0.5144</f>
        <v>#NAME?</v>
      </c>
      <c r="I631" s="18" t="n">
        <v>0</v>
      </c>
    </row>
    <row r="632" customFormat="false" ht="12.75" hidden="false" customHeight="false" outlineLevel="0" collapsed="false">
      <c r="A632" s="18" t="n">
        <f aca="false">B632-0.25</f>
        <v>9.25</v>
      </c>
      <c r="B632" s="18" t="n">
        <f aca="false">B631+0.25</f>
        <v>9.5</v>
      </c>
      <c r="C632" s="18" t="n">
        <v>25.9</v>
      </c>
      <c r="D632" s="18" t="n">
        <v>-98.4</v>
      </c>
      <c r="E632" s="18" t="n">
        <v>60</v>
      </c>
      <c r="F632" s="18" t="n">
        <f aca="false">E632*0.5144</f>
        <v>30.864</v>
      </c>
      <c r="G632" s="22" t="e">
        <f aca="false">arclethnm(C631,D631,C632,D632)/6</f>
        <v>#NAME?</v>
      </c>
      <c r="H632" s="22" t="e">
        <f aca="false">G632*0.5144</f>
        <v>#NAME?</v>
      </c>
      <c r="I632" s="18" t="n">
        <v>0</v>
      </c>
    </row>
    <row r="633" customFormat="false" ht="12.75" hidden="false" customHeight="false" outlineLevel="0" collapsed="false">
      <c r="A633" s="18" t="n">
        <f aca="false">B633-0.25</f>
        <v>9.5</v>
      </c>
      <c r="B633" s="18" t="n">
        <f aca="false">B632+0.25</f>
        <v>9.75</v>
      </c>
      <c r="C633" s="18" t="n">
        <v>25.7</v>
      </c>
      <c r="D633" s="18" t="n">
        <v>-99.3</v>
      </c>
      <c r="E633" s="18" t="n">
        <v>35</v>
      </c>
      <c r="F633" s="18" t="n">
        <f aca="false">E633*0.5144</f>
        <v>18.004</v>
      </c>
      <c r="G633" s="22" t="e">
        <f aca="false">arclethnm(C632,D632,C633,D633)/6</f>
        <v>#NAME?</v>
      </c>
      <c r="H633" s="22" t="e">
        <f aca="false">G633*0.5144</f>
        <v>#NAME?</v>
      </c>
      <c r="I633" s="18" t="n">
        <v>0</v>
      </c>
    </row>
    <row r="634" customFormat="false" ht="12.75" hidden="false" customHeight="false" outlineLevel="0" collapsed="false">
      <c r="A634" s="0"/>
      <c r="B634" s="0"/>
      <c r="C634" s="0"/>
      <c r="D634" s="0"/>
      <c r="E634" s="0"/>
      <c r="F634" s="0"/>
      <c r="G634" s="22"/>
      <c r="H634" s="22"/>
      <c r="I634" s="0"/>
    </row>
    <row r="635" customFormat="false" ht="12.75" hidden="false" customHeight="false" outlineLevel="0" collapsed="false">
      <c r="A635" s="0"/>
      <c r="B635" s="0"/>
      <c r="C635" s="0"/>
      <c r="D635" s="0"/>
      <c r="E635" s="0"/>
      <c r="F635" s="0"/>
      <c r="G635" s="22"/>
      <c r="H635" s="22"/>
      <c r="I635" s="0"/>
    </row>
    <row r="636" customFormat="false" ht="12.75" hidden="false" customHeight="false" outlineLevel="0" collapsed="false">
      <c r="A636" s="0"/>
      <c r="B636" s="18" t="n">
        <v>1934</v>
      </c>
      <c r="C636" s="0"/>
      <c r="D636" s="0"/>
      <c r="E636" s="0"/>
      <c r="F636" s="0"/>
      <c r="G636" s="22"/>
      <c r="H636" s="22"/>
      <c r="I636" s="0"/>
    </row>
    <row r="637" customFormat="false" ht="12.75" hidden="false" customHeight="false" outlineLevel="0" collapsed="false">
      <c r="A637" s="0"/>
      <c r="B637" s="0"/>
      <c r="C637" s="0"/>
      <c r="D637" s="0"/>
      <c r="E637" s="0"/>
      <c r="F637" s="0"/>
      <c r="G637" s="22"/>
      <c r="H637" s="22"/>
      <c r="I637" s="0"/>
    </row>
    <row r="638" customFormat="false" ht="12.75" hidden="false" customHeight="false" outlineLevel="0" collapsed="false">
      <c r="A638" s="18" t="n">
        <v>1</v>
      </c>
      <c r="B638" s="18" t="n">
        <v>1.25</v>
      </c>
      <c r="C638" s="18" t="n">
        <v>33.9</v>
      </c>
      <c r="D638" s="18" t="n">
        <v>-75.5</v>
      </c>
      <c r="E638" s="18" t="n">
        <v>35</v>
      </c>
      <c r="F638" s="18" t="n">
        <f aca="false">E638*0.5144</f>
        <v>18.004</v>
      </c>
      <c r="G638" s="22"/>
      <c r="H638" s="22"/>
      <c r="I638" s="18" t="n">
        <v>0</v>
      </c>
    </row>
    <row r="639" customFormat="false" ht="12.75" hidden="false" customHeight="false" outlineLevel="0" collapsed="false">
      <c r="A639" s="18" t="n">
        <f aca="false">B639-0.25</f>
        <v>1.25</v>
      </c>
      <c r="B639" s="18" t="n">
        <f aca="false">B638+0.25</f>
        <v>1.5</v>
      </c>
      <c r="C639" s="18" t="n">
        <v>33.7</v>
      </c>
      <c r="D639" s="18" t="n">
        <v>-78</v>
      </c>
      <c r="E639" s="18" t="n">
        <v>40</v>
      </c>
      <c r="F639" s="18" t="n">
        <f aca="false">E639*0.5144</f>
        <v>20.576</v>
      </c>
      <c r="G639" s="22" t="e">
        <f aca="false">arclethnm(C638,D638,C639,D639)/6</f>
        <v>#NAME?</v>
      </c>
      <c r="H639" s="22" t="e">
        <f aca="false">G639*0.5144</f>
        <v>#NAME?</v>
      </c>
      <c r="I639" s="18" t="n">
        <v>0</v>
      </c>
    </row>
    <row r="640" customFormat="false" ht="12.75" hidden="false" customHeight="false" outlineLevel="0" collapsed="false">
      <c r="A640" s="18" t="n">
        <f aca="false">B640-0.25</f>
        <v>1.5</v>
      </c>
      <c r="B640" s="18" t="n">
        <f aca="false">B639+0.25</f>
        <v>1.75</v>
      </c>
      <c r="C640" s="18" t="n">
        <v>33</v>
      </c>
      <c r="D640" s="18" t="n">
        <v>-78.6</v>
      </c>
      <c r="E640" s="18" t="n">
        <v>40</v>
      </c>
      <c r="F640" s="18" t="n">
        <f aca="false">E640*0.5144</f>
        <v>20.576</v>
      </c>
      <c r="G640" s="22" t="e">
        <f aca="false">arclethnm(C639,D639,C640,D640)/6</f>
        <v>#NAME?</v>
      </c>
      <c r="H640" s="22" t="e">
        <f aca="false">G640*0.5144</f>
        <v>#NAME?</v>
      </c>
      <c r="I640" s="18" t="n">
        <v>0</v>
      </c>
    </row>
    <row r="641" customFormat="false" ht="12.75" hidden="false" customHeight="false" outlineLevel="0" collapsed="false">
      <c r="A641" s="18" t="n">
        <f aca="false">B641-0.25</f>
        <v>1.75</v>
      </c>
      <c r="B641" s="18" t="n">
        <f aca="false">B640+0.25</f>
        <v>2</v>
      </c>
      <c r="C641" s="18" t="n">
        <v>32.5</v>
      </c>
      <c r="D641" s="18" t="n">
        <v>-78.9</v>
      </c>
      <c r="E641" s="18" t="n">
        <v>40</v>
      </c>
      <c r="F641" s="18" t="n">
        <f aca="false">E641*0.5144</f>
        <v>20.576</v>
      </c>
      <c r="G641" s="22" t="e">
        <f aca="false">arclethnm(C640,D640,C641,D641)/6</f>
        <v>#NAME?</v>
      </c>
      <c r="H641" s="22" t="e">
        <f aca="false">G641*0.5144</f>
        <v>#NAME?</v>
      </c>
      <c r="I641" s="18" t="n">
        <v>0</v>
      </c>
    </row>
    <row r="642" customFormat="false" ht="12.75" hidden="false" customHeight="false" outlineLevel="0" collapsed="false">
      <c r="A642" s="18" t="n">
        <f aca="false">B642-0.25</f>
        <v>2</v>
      </c>
      <c r="B642" s="18" t="n">
        <f aca="false">B641+0.25</f>
        <v>2.25</v>
      </c>
      <c r="C642" s="18" t="n">
        <v>32.2</v>
      </c>
      <c r="D642" s="18" t="n">
        <v>-79</v>
      </c>
      <c r="E642" s="18" t="n">
        <v>40</v>
      </c>
      <c r="F642" s="18" t="n">
        <f aca="false">E642*0.5144</f>
        <v>20.576</v>
      </c>
      <c r="G642" s="22" t="e">
        <f aca="false">arclethnm(C641,D641,C642,D642)/6</f>
        <v>#NAME?</v>
      </c>
      <c r="H642" s="22" t="e">
        <f aca="false">G642*0.5144</f>
        <v>#NAME?</v>
      </c>
      <c r="I642" s="18" t="n">
        <v>0</v>
      </c>
    </row>
    <row r="643" customFormat="false" ht="12.75" hidden="false" customHeight="false" outlineLevel="0" collapsed="false">
      <c r="A643" s="18" t="n">
        <f aca="false">B643-0.25</f>
        <v>2.25</v>
      </c>
      <c r="B643" s="18" t="n">
        <f aca="false">B642+0.25</f>
        <v>2.5</v>
      </c>
      <c r="C643" s="18" t="n">
        <v>31.9</v>
      </c>
      <c r="D643" s="18" t="n">
        <v>-79.1</v>
      </c>
      <c r="E643" s="18" t="n">
        <v>40</v>
      </c>
      <c r="F643" s="18" t="n">
        <f aca="false">E643*0.5144</f>
        <v>20.576</v>
      </c>
      <c r="G643" s="22" t="e">
        <f aca="false">arclethnm(C642,D642,C643,D643)/6</f>
        <v>#NAME?</v>
      </c>
      <c r="H643" s="22" t="e">
        <f aca="false">G643*0.5144</f>
        <v>#NAME?</v>
      </c>
      <c r="I643" s="18" t="n">
        <v>0</v>
      </c>
    </row>
    <row r="644" customFormat="false" ht="12.75" hidden="false" customHeight="false" outlineLevel="0" collapsed="false">
      <c r="A644" s="18" t="n">
        <f aca="false">B644-0.25</f>
        <v>2.5</v>
      </c>
      <c r="B644" s="18" t="n">
        <f aca="false">B643+0.25</f>
        <v>2.75</v>
      </c>
      <c r="C644" s="18" t="n">
        <v>30.9</v>
      </c>
      <c r="D644" s="18" t="n">
        <v>-79.8</v>
      </c>
      <c r="E644" s="18" t="n">
        <v>40</v>
      </c>
      <c r="F644" s="18" t="n">
        <f aca="false">E644*0.5144</f>
        <v>20.576</v>
      </c>
      <c r="G644" s="22" t="e">
        <f aca="false">arclethnm(C643,D643,C644,D644)/6</f>
        <v>#NAME?</v>
      </c>
      <c r="H644" s="22" t="e">
        <f aca="false">G644*0.5144</f>
        <v>#NAME?</v>
      </c>
      <c r="I644" s="18" t="n">
        <v>0</v>
      </c>
    </row>
    <row r="645" customFormat="false" ht="12.75" hidden="false" customHeight="false" outlineLevel="0" collapsed="false">
      <c r="A645" s="18" t="n">
        <f aca="false">B645-0.25</f>
        <v>2.75</v>
      </c>
      <c r="B645" s="18" t="n">
        <f aca="false">B644+0.25</f>
        <v>3</v>
      </c>
      <c r="C645" s="18" t="n">
        <v>29.8</v>
      </c>
      <c r="D645" s="18" t="n">
        <v>-81</v>
      </c>
      <c r="E645" s="18" t="n">
        <v>40</v>
      </c>
      <c r="F645" s="18" t="n">
        <f aca="false">E645*0.5144</f>
        <v>20.576</v>
      </c>
      <c r="G645" s="22" t="e">
        <f aca="false">arclethnm(C644,D644,C645,D645)/6</f>
        <v>#NAME?</v>
      </c>
      <c r="H645" s="22" t="e">
        <f aca="false">G645*0.5144</f>
        <v>#NAME?</v>
      </c>
      <c r="I645" s="18" t="n">
        <v>0</v>
      </c>
    </row>
    <row r="646" customFormat="false" ht="12.75" hidden="false" customHeight="false" outlineLevel="0" collapsed="false">
      <c r="A646" s="18" t="n">
        <f aca="false">B646-0.25</f>
        <v>3</v>
      </c>
      <c r="B646" s="18" t="n">
        <f aca="false">B645+0.25</f>
        <v>3.25</v>
      </c>
      <c r="C646" s="18" t="n">
        <v>29.1</v>
      </c>
      <c r="D646" s="18" t="n">
        <v>-82.7</v>
      </c>
      <c r="E646" s="18" t="n">
        <v>40</v>
      </c>
      <c r="F646" s="18" t="n">
        <f aca="false">E646*0.5144</f>
        <v>20.576</v>
      </c>
      <c r="G646" s="22" t="e">
        <f aca="false">arclethnm(C645,D645,C646,D646)/6</f>
        <v>#NAME?</v>
      </c>
      <c r="H646" s="22" t="e">
        <f aca="false">G646*0.5144</f>
        <v>#NAME?</v>
      </c>
      <c r="I646" s="18" t="n">
        <v>0</v>
      </c>
    </row>
    <row r="647" customFormat="false" ht="12.75" hidden="false" customHeight="false" outlineLevel="0" collapsed="false">
      <c r="A647" s="18" t="n">
        <f aca="false">B647-0.25</f>
        <v>3.25</v>
      </c>
      <c r="B647" s="18" t="n">
        <f aca="false">B646+0.25</f>
        <v>3.5</v>
      </c>
      <c r="C647" s="18" t="n">
        <v>28.6</v>
      </c>
      <c r="D647" s="18" t="n">
        <v>-84.3</v>
      </c>
      <c r="E647" s="18" t="n">
        <v>40</v>
      </c>
      <c r="F647" s="18" t="n">
        <f aca="false">E647*0.5144</f>
        <v>20.576</v>
      </c>
      <c r="G647" s="22" t="e">
        <f aca="false">arclethnm(C646,D646,C647,D647)/6</f>
        <v>#NAME?</v>
      </c>
      <c r="H647" s="22" t="e">
        <f aca="false">G647*0.5144</f>
        <v>#NAME?</v>
      </c>
      <c r="I647" s="18" t="n">
        <v>0</v>
      </c>
    </row>
    <row r="648" customFormat="false" ht="12.75" hidden="false" customHeight="false" outlineLevel="0" collapsed="false">
      <c r="A648" s="18" t="n">
        <f aca="false">B648-0.25</f>
        <v>3.5</v>
      </c>
      <c r="B648" s="18" t="n">
        <f aca="false">B647+0.25</f>
        <v>3.75</v>
      </c>
      <c r="C648" s="18" t="n">
        <v>28.4</v>
      </c>
      <c r="D648" s="18" t="n">
        <v>-85.8</v>
      </c>
      <c r="E648" s="18" t="n">
        <v>40</v>
      </c>
      <c r="F648" s="18" t="n">
        <f aca="false">E648*0.5144</f>
        <v>20.576</v>
      </c>
      <c r="G648" s="22" t="e">
        <f aca="false">arclethnm(C647,D647,C648,D648)/6</f>
        <v>#NAME?</v>
      </c>
      <c r="H648" s="22" t="e">
        <f aca="false">G648*0.5144</f>
        <v>#NAME?</v>
      </c>
      <c r="I648" s="18" t="n">
        <v>0</v>
      </c>
    </row>
    <row r="649" customFormat="false" ht="12.75" hidden="false" customHeight="false" outlineLevel="0" collapsed="false">
      <c r="A649" s="18" t="n">
        <f aca="false">B649-0.25</f>
        <v>3.75</v>
      </c>
      <c r="B649" s="18" t="n">
        <f aca="false">B648+0.25</f>
        <v>4</v>
      </c>
      <c r="C649" s="18" t="n">
        <v>28.2</v>
      </c>
      <c r="D649" s="18" t="n">
        <v>-87.3</v>
      </c>
      <c r="E649" s="18" t="n">
        <v>35</v>
      </c>
      <c r="F649" s="18" t="n">
        <f aca="false">E649*0.5144</f>
        <v>18.004</v>
      </c>
      <c r="G649" s="22" t="e">
        <f aca="false">arclethnm(C648,D648,C649,D649)/6</f>
        <v>#NAME?</v>
      </c>
      <c r="H649" s="22" t="e">
        <f aca="false">G649*0.5144</f>
        <v>#NAME?</v>
      </c>
      <c r="I649" s="18" t="n">
        <v>0</v>
      </c>
    </row>
    <row r="650" customFormat="false" ht="12.75" hidden="false" customHeight="false" outlineLevel="0" collapsed="false">
      <c r="A650" s="18" t="n">
        <f aca="false">B650-0.25</f>
        <v>4</v>
      </c>
      <c r="B650" s="18" t="n">
        <f aca="false">B649+0.25</f>
        <v>4.25</v>
      </c>
      <c r="C650" s="18" t="n">
        <v>28.1</v>
      </c>
      <c r="D650" s="18" t="n">
        <v>-88.7</v>
      </c>
      <c r="E650" s="18" t="n">
        <v>40</v>
      </c>
      <c r="F650" s="18" t="n">
        <f aca="false">E650*0.5144</f>
        <v>20.576</v>
      </c>
      <c r="G650" s="22" t="e">
        <f aca="false">arclethnm(C649,D649,C650,D650)/6</f>
        <v>#NAME?</v>
      </c>
      <c r="H650" s="22" t="e">
        <f aca="false">G650*0.5144</f>
        <v>#NAME?</v>
      </c>
      <c r="I650" s="18" t="n">
        <v>0</v>
      </c>
    </row>
    <row r="651" customFormat="false" ht="12.75" hidden="false" customHeight="false" outlineLevel="0" collapsed="false">
      <c r="A651" s="18" t="n">
        <f aca="false">B651-0.25</f>
        <v>4.25</v>
      </c>
      <c r="B651" s="18" t="n">
        <f aca="false">B650+0.25</f>
        <v>4.5</v>
      </c>
      <c r="C651" s="18" t="n">
        <v>28</v>
      </c>
      <c r="D651" s="18" t="n">
        <v>-90.1</v>
      </c>
      <c r="E651" s="18" t="n">
        <v>45</v>
      </c>
      <c r="F651" s="18" t="n">
        <f aca="false">E651*0.5144</f>
        <v>23.148</v>
      </c>
      <c r="G651" s="22" t="e">
        <f aca="false">arclethnm(C650,D650,C651,D651)/6</f>
        <v>#NAME?</v>
      </c>
      <c r="H651" s="22" t="e">
        <f aca="false">G651*0.5144</f>
        <v>#NAME?</v>
      </c>
      <c r="I651" s="18" t="n">
        <v>0</v>
      </c>
    </row>
    <row r="652" customFormat="false" ht="12.75" hidden="false" customHeight="false" outlineLevel="0" collapsed="false">
      <c r="A652" s="18" t="n">
        <f aca="false">B652-0.25</f>
        <v>4.5</v>
      </c>
      <c r="B652" s="18" t="n">
        <f aca="false">B651+0.25</f>
        <v>4.75</v>
      </c>
      <c r="C652" s="18" t="n">
        <v>28</v>
      </c>
      <c r="D652" s="18" t="n">
        <v>-91.5</v>
      </c>
      <c r="E652" s="18" t="n">
        <v>45</v>
      </c>
      <c r="F652" s="18" t="n">
        <f aca="false">E652*0.5144</f>
        <v>23.148</v>
      </c>
      <c r="G652" s="22" t="e">
        <f aca="false">arclethnm(C651,D651,C652,D652)/6</f>
        <v>#NAME?</v>
      </c>
      <c r="H652" s="22" t="e">
        <f aca="false">G652*0.5144</f>
        <v>#NAME?</v>
      </c>
      <c r="I652" s="18" t="n">
        <v>0</v>
      </c>
    </row>
    <row r="653" customFormat="false" ht="12.75" hidden="false" customHeight="false" outlineLevel="0" collapsed="false">
      <c r="A653" s="18" t="n">
        <f aca="false">B653-0.25</f>
        <v>4.75</v>
      </c>
      <c r="B653" s="18" t="n">
        <f aca="false">B652+0.25</f>
        <v>5</v>
      </c>
      <c r="C653" s="18" t="n">
        <v>28</v>
      </c>
      <c r="D653" s="18" t="n">
        <v>-93</v>
      </c>
      <c r="E653" s="18" t="n">
        <v>50</v>
      </c>
      <c r="F653" s="18" t="n">
        <f aca="false">E653*0.5144</f>
        <v>25.72</v>
      </c>
      <c r="G653" s="22" t="e">
        <f aca="false">arclethnm(C652,D652,C653,D653)/6</f>
        <v>#NAME?</v>
      </c>
      <c r="H653" s="22" t="e">
        <f aca="false">G653*0.5144</f>
        <v>#NAME?</v>
      </c>
      <c r="I653" s="18" t="n">
        <v>0</v>
      </c>
    </row>
    <row r="654" customFormat="false" ht="12.75" hidden="false" customHeight="false" outlineLevel="0" collapsed="false">
      <c r="A654" s="18" t="n">
        <f aca="false">B654-0.25</f>
        <v>5</v>
      </c>
      <c r="B654" s="18" t="n">
        <f aca="false">B653+0.25</f>
        <v>5.25</v>
      </c>
      <c r="C654" s="18" t="n">
        <v>28</v>
      </c>
      <c r="D654" s="18" t="n">
        <v>-94.1</v>
      </c>
      <c r="E654" s="18" t="n">
        <v>60</v>
      </c>
      <c r="F654" s="18" t="n">
        <f aca="false">E654*0.5144</f>
        <v>30.864</v>
      </c>
      <c r="G654" s="22" t="e">
        <f aca="false">arclethnm(C653,D653,C654,D654)/6</f>
        <v>#NAME?</v>
      </c>
      <c r="H654" s="22" t="e">
        <f aca="false">G654*0.5144</f>
        <v>#NAME?</v>
      </c>
      <c r="I654" s="18" t="n">
        <v>0</v>
      </c>
    </row>
    <row r="655" customFormat="false" ht="12.75" hidden="false" customHeight="false" outlineLevel="0" collapsed="false">
      <c r="A655" s="18" t="n">
        <f aca="false">B655-0.25</f>
        <v>5.25</v>
      </c>
      <c r="B655" s="18" t="n">
        <f aca="false">B654+0.25</f>
        <v>5.5</v>
      </c>
      <c r="C655" s="18" t="n">
        <v>28</v>
      </c>
      <c r="D655" s="18" t="n">
        <v>-95.1</v>
      </c>
      <c r="E655" s="18" t="n">
        <v>65</v>
      </c>
      <c r="F655" s="18" t="n">
        <f aca="false">E655*0.5144</f>
        <v>33.436</v>
      </c>
      <c r="G655" s="22" t="e">
        <f aca="false">arclethnm(C654,D654,C655,D655)/6</f>
        <v>#NAME?</v>
      </c>
      <c r="H655" s="22" t="e">
        <f aca="false">G655*0.5144</f>
        <v>#NAME?</v>
      </c>
      <c r="I655" s="18" t="n">
        <v>0</v>
      </c>
    </row>
    <row r="656" customFormat="false" ht="12.75" hidden="false" customHeight="false" outlineLevel="0" collapsed="false">
      <c r="A656" s="18" t="n">
        <f aca="false">B656-0.25</f>
        <v>5.5</v>
      </c>
      <c r="B656" s="18" t="n">
        <f aca="false">B655+0.25</f>
        <v>5.75</v>
      </c>
      <c r="C656" s="18" t="n">
        <v>27.9</v>
      </c>
      <c r="D656" s="18" t="n">
        <v>-96.8</v>
      </c>
      <c r="E656" s="18" t="n">
        <v>65</v>
      </c>
      <c r="F656" s="18" t="n">
        <f aca="false">E656*0.5144</f>
        <v>33.436</v>
      </c>
      <c r="G656" s="22" t="e">
        <f aca="false">arclethnm(C655,D655,C656,D656)/6</f>
        <v>#NAME?</v>
      </c>
      <c r="H656" s="22" t="e">
        <f aca="false">G656*0.5144</f>
        <v>#NAME?</v>
      </c>
      <c r="I656" s="18" t="n">
        <v>0</v>
      </c>
    </row>
    <row r="657" customFormat="false" ht="12.75" hidden="false" customHeight="false" outlineLevel="0" collapsed="false">
      <c r="A657" s="18" t="n">
        <f aca="false">B657-0.25</f>
        <v>5.75</v>
      </c>
      <c r="B657" s="18" t="n">
        <f aca="false">B656+0.25</f>
        <v>6</v>
      </c>
      <c r="C657" s="18" t="n">
        <v>27.8</v>
      </c>
      <c r="D657" s="18" t="n">
        <v>-98.3</v>
      </c>
      <c r="E657" s="18" t="n">
        <v>60</v>
      </c>
      <c r="F657" s="18" t="n">
        <f aca="false">E657*0.5144</f>
        <v>30.864</v>
      </c>
      <c r="G657" s="22" t="e">
        <f aca="false">arclethnm(C656,D656,C657,D657)/6</f>
        <v>#NAME?</v>
      </c>
      <c r="H657" s="22" t="e">
        <f aca="false">G657*0.5144</f>
        <v>#NAME?</v>
      </c>
      <c r="I657" s="18" t="n">
        <v>0</v>
      </c>
    </row>
    <row r="658" customFormat="false" ht="12.75" hidden="false" customHeight="false" outlineLevel="0" collapsed="false">
      <c r="A658" s="18" t="n">
        <f aca="false">B658-0.25</f>
        <v>6</v>
      </c>
      <c r="B658" s="18" t="n">
        <f aca="false">B657+0.25</f>
        <v>6.25</v>
      </c>
      <c r="C658" s="18" t="n">
        <v>27.8</v>
      </c>
      <c r="D658" s="18" t="n">
        <v>-99.3</v>
      </c>
      <c r="E658" s="18" t="n">
        <v>35</v>
      </c>
      <c r="F658" s="18" t="n">
        <f aca="false">E658*0.5144</f>
        <v>18.004</v>
      </c>
      <c r="G658" s="22" t="e">
        <f aca="false">arclethnm(C657,D657,C658,D658)/6</f>
        <v>#NAME?</v>
      </c>
      <c r="H658" s="22" t="e">
        <f aca="false">G658*0.5144</f>
        <v>#NAME?</v>
      </c>
      <c r="I658" s="18" t="n">
        <v>0</v>
      </c>
    </row>
    <row r="659" customFormat="false" ht="12.75" hidden="false" customHeight="false" outlineLevel="0" collapsed="false">
      <c r="A659" s="18" t="n">
        <f aca="false">B659-0.25</f>
        <v>6.25</v>
      </c>
      <c r="B659" s="18" t="n">
        <f aca="false">B658+0.25</f>
        <v>6.5</v>
      </c>
      <c r="C659" s="18" t="n">
        <v>27.8</v>
      </c>
      <c r="D659" s="18" t="n">
        <v>-100.2</v>
      </c>
      <c r="E659" s="18" t="n">
        <v>20</v>
      </c>
      <c r="F659" s="18" t="n">
        <f aca="false">E659*0.5144</f>
        <v>10.288</v>
      </c>
      <c r="G659" s="22" t="e">
        <f aca="false">arclethnm(C658,D658,C659,D659)/6</f>
        <v>#NAME?</v>
      </c>
      <c r="H659" s="22" t="e">
        <f aca="false">G659*0.5144</f>
        <v>#NAME?</v>
      </c>
      <c r="I659" s="18" t="n">
        <v>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1" activeCellId="0" sqref="A1"/>
    </sheetView>
  </sheetViews>
  <sheetFormatPr defaultRowHeight="12.75"/>
  <cols>
    <col collapsed="false" hidden="false" max="1025" min="1" style="0" width="9.14285714285714"/>
  </cols>
  <sheetData/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47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I5" activeCellId="0" sqref="I5"/>
    </sheetView>
  </sheetViews>
  <sheetFormatPr defaultRowHeight="12.75"/>
  <cols>
    <col collapsed="false" hidden="false" max="1" min="1" style="18" width="13.0510204081633"/>
    <col collapsed="false" hidden="false" max="2" min="2" style="18" width="11.530612244898"/>
    <col collapsed="false" hidden="false" max="3" min="3" style="18" width="15.8775510204082"/>
    <col collapsed="false" hidden="false" max="4" min="4" style="18" width="11.7448979591837"/>
    <col collapsed="false" hidden="false" max="5" min="5" style="18" width="9"/>
    <col collapsed="false" hidden="false" max="6" min="6" style="18" width="14.3520408163265"/>
    <col collapsed="false" hidden="false" max="7" min="7" style="22" width="13.2091836734694"/>
    <col collapsed="false" hidden="false" max="8" min="8" style="22" width="12.8622448979592"/>
    <col collapsed="false" hidden="false" max="15" min="9" style="18" width="11.530612244898"/>
    <col collapsed="false" hidden="false" max="17" min="16" style="18" width="9"/>
    <col collapsed="false" hidden="false" max="1025" min="18" style="18" width="11.530612244898"/>
  </cols>
  <sheetData>
    <row r="1" customFormat="false" ht="65" hidden="false" customHeight="true" outlineLevel="0" collapsed="false">
      <c r="A1" s="19" t="s">
        <v>127</v>
      </c>
      <c r="B1" s="20" t="s">
        <v>128</v>
      </c>
      <c r="C1" s="20" t="s">
        <v>129</v>
      </c>
      <c r="D1" s="20" t="s">
        <v>130</v>
      </c>
      <c r="E1" s="20" t="s">
        <v>15</v>
      </c>
      <c r="F1" s="21" t="s">
        <v>137</v>
      </c>
      <c r="G1" s="20" t="s">
        <v>138</v>
      </c>
      <c r="H1" s="20" t="s">
        <v>14</v>
      </c>
      <c r="I1" s="20" t="s">
        <v>9</v>
      </c>
      <c r="J1" s="20" t="s">
        <v>133</v>
      </c>
      <c r="K1" s="19" t="s">
        <v>134</v>
      </c>
      <c r="L1" s="14"/>
      <c r="M1" s="14"/>
    </row>
    <row r="2" customFormat="false" ht="12.75" hidden="false" customHeight="false" outlineLevel="0" collapsed="false">
      <c r="A2" s="19"/>
      <c r="B2" s="24"/>
      <c r="C2" s="0"/>
      <c r="D2" s="0"/>
      <c r="E2" s="0"/>
      <c r="F2" s="25"/>
      <c r="G2" s="26"/>
      <c r="H2" s="0"/>
      <c r="I2" s="24"/>
    </row>
    <row r="3" customFormat="false" ht="12.75" hidden="false" customHeight="false" outlineLevel="0" collapsed="false">
      <c r="A3" s="19"/>
      <c r="B3" s="23" t="s">
        <v>139</v>
      </c>
      <c r="C3" s="23" t="s">
        <v>18</v>
      </c>
      <c r="D3" s="0"/>
      <c r="E3" s="0"/>
      <c r="F3" s="25"/>
      <c r="G3" s="0"/>
      <c r="H3" s="0"/>
      <c r="I3" s="24"/>
    </row>
    <row r="4" customFormat="false" ht="12.75" hidden="false" customHeight="false" outlineLevel="0" collapsed="false">
      <c r="A4" s="19" t="n">
        <v>1</v>
      </c>
      <c r="B4" s="18" t="n">
        <v>1.75</v>
      </c>
      <c r="C4" s="18" t="n">
        <v>26.2</v>
      </c>
      <c r="D4" s="18" t="n">
        <v>-95.5</v>
      </c>
      <c r="E4" s="18" t="n">
        <v>35</v>
      </c>
      <c r="F4" s="27" t="n">
        <f aca="false">E4*0.5144</f>
        <v>18.004</v>
      </c>
      <c r="G4" s="0"/>
      <c r="H4" s="0"/>
      <c r="I4" s="0"/>
    </row>
    <row r="5" customFormat="false" ht="12.75" hidden="false" customHeight="false" outlineLevel="0" collapsed="false">
      <c r="A5" s="19" t="n">
        <f aca="false">B5-0.75</f>
        <v>1.25</v>
      </c>
      <c r="B5" s="18" t="n">
        <v>2</v>
      </c>
      <c r="C5" s="18" t="n">
        <v>26.7</v>
      </c>
      <c r="D5" s="18" t="n">
        <v>-96</v>
      </c>
      <c r="E5" s="18" t="n">
        <v>65</v>
      </c>
      <c r="F5" s="27" t="n">
        <f aca="false">E5*0.5144</f>
        <v>33.436</v>
      </c>
      <c r="G5" s="22" t="e">
        <f aca="false">arclethnm(C4,D4,C5,D5)/6</f>
        <v>#NAME?</v>
      </c>
      <c r="H5" s="22" t="e">
        <f aca="false">G5*0.5144</f>
        <v>#NAME?</v>
      </c>
      <c r="I5" s="0"/>
    </row>
    <row r="6" customFormat="false" ht="12.75" hidden="false" customHeight="false" outlineLevel="0" collapsed="false">
      <c r="A6" s="19" t="n">
        <f aca="false">B6-0.75</f>
        <v>1.5</v>
      </c>
      <c r="B6" s="18" t="n">
        <v>2.25</v>
      </c>
      <c r="C6" s="18" t="n">
        <v>27</v>
      </c>
      <c r="D6" s="18" t="n">
        <v>-96.3</v>
      </c>
      <c r="E6" s="18" t="n">
        <v>70</v>
      </c>
      <c r="F6" s="27" t="n">
        <f aca="false">E6*0.5144</f>
        <v>36.008</v>
      </c>
      <c r="G6" s="22" t="e">
        <f aca="false">arclethnm(C5,D5,C6,D6)/6</f>
        <v>#NAME?</v>
      </c>
      <c r="H6" s="22" t="e">
        <f aca="false">G6*0.5144</f>
        <v>#NAME?</v>
      </c>
      <c r="I6" s="0"/>
    </row>
    <row r="7" customFormat="false" ht="12.75" hidden="false" customHeight="false" outlineLevel="0" collapsed="false">
      <c r="A7" s="19" t="n">
        <f aca="false">B7-0.75</f>
        <v>1.75</v>
      </c>
      <c r="B7" s="18" t="n">
        <v>2.5</v>
      </c>
      <c r="C7" s="18" t="n">
        <v>27.4</v>
      </c>
      <c r="D7" s="18" t="n">
        <v>-96.8</v>
      </c>
      <c r="E7" s="18" t="n">
        <v>70</v>
      </c>
      <c r="F7" s="27" t="n">
        <f aca="false">E7*0.5144</f>
        <v>36.008</v>
      </c>
      <c r="G7" s="22" t="e">
        <f aca="false">arclethnm(C6,D6,C7,D7)/6</f>
        <v>#NAME?</v>
      </c>
      <c r="H7" s="22" t="e">
        <f aca="false">G7*0.5144</f>
        <v>#NAME?</v>
      </c>
      <c r="I7" s="0"/>
    </row>
    <row r="8" customFormat="false" ht="12.75" hidden="false" customHeight="false" outlineLevel="0" collapsed="false">
      <c r="A8" s="19" t="n">
        <f aca="false">B8-0.75</f>
        <v>1.92</v>
      </c>
      <c r="B8" s="18" t="n">
        <v>2.67</v>
      </c>
      <c r="C8" s="18" t="n">
        <v>28</v>
      </c>
      <c r="D8" s="18" t="n">
        <v>-97.4</v>
      </c>
      <c r="E8" s="18" t="n">
        <v>60</v>
      </c>
      <c r="F8" s="27" t="n">
        <f aca="false">E8*0.5144</f>
        <v>30.864</v>
      </c>
      <c r="G8" s="22" t="e">
        <f aca="false">arclethnm(C7,D7,C8,D8)/6</f>
        <v>#NAME?</v>
      </c>
      <c r="H8" s="22" t="e">
        <f aca="false">G8*0.5144</f>
        <v>#NAME?</v>
      </c>
      <c r="I8" s="0"/>
    </row>
    <row r="9" customFormat="false" ht="12.75" hidden="false" customHeight="false" outlineLevel="0" collapsed="false">
      <c r="A9" s="19" t="n">
        <f aca="false">B9-0.75</f>
        <v>2</v>
      </c>
      <c r="B9" s="18" t="n">
        <v>2.75</v>
      </c>
      <c r="C9" s="18" t="n">
        <v>28.6</v>
      </c>
      <c r="D9" s="18" t="n">
        <v>-98</v>
      </c>
      <c r="E9" s="18" t="n">
        <v>35</v>
      </c>
      <c r="F9" s="27" t="n">
        <f aca="false">E9*0.5144</f>
        <v>18.004</v>
      </c>
      <c r="G9" s="22" t="e">
        <f aca="false">arclethnm(C8,D8,C9,D9)/6</f>
        <v>#NAME?</v>
      </c>
      <c r="H9" s="22" t="e">
        <f aca="false">G9*0.5144</f>
        <v>#NAME?</v>
      </c>
      <c r="I9" s="0"/>
    </row>
    <row r="10" customFormat="false" ht="12.75" hidden="false" customHeight="false" outlineLevel="0" collapsed="false">
      <c r="A10" s="19" t="n">
        <f aca="false">B10-0.75</f>
        <v>2.25</v>
      </c>
      <c r="B10" s="18" t="n">
        <v>3</v>
      </c>
      <c r="C10" s="18" t="n">
        <v>29.1</v>
      </c>
      <c r="D10" s="18" t="n">
        <v>-98.5</v>
      </c>
      <c r="E10" s="18" t="n">
        <v>30</v>
      </c>
      <c r="F10" s="27" t="n">
        <f aca="false">E10*0.5144</f>
        <v>15.432</v>
      </c>
      <c r="G10" s="22" t="e">
        <f aca="false">arclethnm(C9,D9,C10,D10)/6</f>
        <v>#NAME?</v>
      </c>
      <c r="H10" s="22" t="e">
        <f aca="false">G10*0.5144</f>
        <v>#NAME?</v>
      </c>
      <c r="I10" s="0"/>
    </row>
    <row r="11" customFormat="false" ht="12.75" hidden="false" customHeight="false" outlineLevel="0" collapsed="false">
      <c r="A11" s="19"/>
      <c r="B11" s="0"/>
      <c r="C11" s="0"/>
      <c r="D11" s="0"/>
      <c r="E11" s="0"/>
      <c r="F11" s="27"/>
      <c r="G11" s="0"/>
      <c r="H11" s="0"/>
      <c r="I11" s="0"/>
    </row>
    <row r="12" customFormat="false" ht="12.75" hidden="false" customHeight="false" outlineLevel="0" collapsed="false">
      <c r="A12" s="0"/>
      <c r="B12" s="0"/>
      <c r="C12" s="0"/>
      <c r="D12" s="0"/>
      <c r="E12" s="0"/>
      <c r="F12" s="27"/>
      <c r="G12" s="0"/>
      <c r="H12" s="0"/>
      <c r="I12" s="0"/>
    </row>
    <row r="13" customFormat="false" ht="12.75" hidden="false" customHeight="false" outlineLevel="0" collapsed="false">
      <c r="A13" s="0"/>
      <c r="B13" s="23" t="s">
        <v>140</v>
      </c>
      <c r="C13" s="23" t="s">
        <v>18</v>
      </c>
      <c r="D13" s="0"/>
      <c r="E13" s="0"/>
      <c r="F13" s="27"/>
      <c r="G13" s="0"/>
      <c r="H13" s="0"/>
      <c r="I13" s="0"/>
    </row>
    <row r="14" customFormat="false" ht="12.75" hidden="false" customHeight="false" outlineLevel="0" collapsed="false">
      <c r="A14" s="18" t="n">
        <v>1</v>
      </c>
      <c r="B14" s="18" t="n">
        <v>1.5</v>
      </c>
      <c r="C14" s="18" t="n">
        <v>25.7</v>
      </c>
      <c r="D14" s="18" t="n">
        <v>-83.6</v>
      </c>
      <c r="E14" s="18" t="n">
        <v>35</v>
      </c>
      <c r="F14" s="27" t="n">
        <f aca="false">E14*0.5144</f>
        <v>18.004</v>
      </c>
      <c r="G14" s="0"/>
      <c r="H14" s="0"/>
      <c r="I14" s="0"/>
    </row>
    <row r="15" customFormat="false" ht="12.75" hidden="false" customHeight="false" outlineLevel="0" collapsed="false">
      <c r="A15" s="18" t="n">
        <f aca="false">B15-0.5</f>
        <v>1.25</v>
      </c>
      <c r="B15" s="18" t="n">
        <v>1.75</v>
      </c>
      <c r="C15" s="18" t="n">
        <v>25.5</v>
      </c>
      <c r="D15" s="18" t="n">
        <v>-84.5</v>
      </c>
      <c r="E15" s="18" t="n">
        <v>35</v>
      </c>
      <c r="F15" s="27" t="n">
        <f aca="false">E15*0.5144</f>
        <v>18.004</v>
      </c>
      <c r="G15" s="22" t="e">
        <f aca="false">arclethnm(C14,D14,C15,D15)/6</f>
        <v>#NAME?</v>
      </c>
      <c r="H15" s="22" t="e">
        <f aca="false">G15*0.5144</f>
        <v>#NAME?</v>
      </c>
      <c r="I15" s="0"/>
    </row>
    <row r="16" customFormat="false" ht="12.75" hidden="false" customHeight="false" outlineLevel="0" collapsed="false">
      <c r="A16" s="18" t="n">
        <f aca="false">B16-0.5</f>
        <v>1.5</v>
      </c>
      <c r="B16" s="18" t="n">
        <v>2</v>
      </c>
      <c r="C16" s="18" t="n">
        <v>25.2</v>
      </c>
      <c r="D16" s="18" t="n">
        <v>-85.4</v>
      </c>
      <c r="E16" s="18" t="n">
        <v>35</v>
      </c>
      <c r="F16" s="27" t="n">
        <f aca="false">E16*0.5144</f>
        <v>18.004</v>
      </c>
      <c r="G16" s="22" t="e">
        <f aca="false">arclethnm(C15,D15,C16,D16)/6</f>
        <v>#NAME?</v>
      </c>
      <c r="H16" s="22" t="e">
        <f aca="false">G16*0.5144</f>
        <v>#NAME?</v>
      </c>
      <c r="I16" s="0"/>
    </row>
    <row r="17" customFormat="false" ht="12.75" hidden="false" customHeight="false" outlineLevel="0" collapsed="false">
      <c r="A17" s="18" t="n">
        <f aca="false">B17-0.5</f>
        <v>1.75</v>
      </c>
      <c r="B17" s="18" t="n">
        <v>2.25</v>
      </c>
      <c r="C17" s="18" t="n">
        <v>25</v>
      </c>
      <c r="D17" s="18" t="n">
        <v>-86.3</v>
      </c>
      <c r="E17" s="18" t="n">
        <v>35</v>
      </c>
      <c r="F17" s="27" t="n">
        <f aca="false">E17*0.5144</f>
        <v>18.004</v>
      </c>
      <c r="G17" s="22" t="e">
        <f aca="false">arclethnm(C16,D16,C17,D17)/6</f>
        <v>#NAME?</v>
      </c>
      <c r="H17" s="22" t="e">
        <f aca="false">G17*0.5144</f>
        <v>#NAME?</v>
      </c>
      <c r="I17" s="0"/>
    </row>
    <row r="18" customFormat="false" ht="12.75" hidden="false" customHeight="false" outlineLevel="0" collapsed="false">
      <c r="A18" s="18" t="n">
        <f aca="false">B18-0.5</f>
        <v>2</v>
      </c>
      <c r="B18" s="18" t="n">
        <v>2.5</v>
      </c>
      <c r="C18" s="18" t="n">
        <v>24.7</v>
      </c>
      <c r="D18" s="18" t="n">
        <v>-87.1</v>
      </c>
      <c r="E18" s="18" t="n">
        <v>40</v>
      </c>
      <c r="F18" s="27" t="n">
        <f aca="false">E18*0.5144</f>
        <v>20.576</v>
      </c>
      <c r="G18" s="22" t="e">
        <f aca="false">arclethnm(C17,D17,C18,D18)/6</f>
        <v>#NAME?</v>
      </c>
      <c r="H18" s="22" t="e">
        <f aca="false">G18*0.5144</f>
        <v>#NAME?</v>
      </c>
      <c r="I18" s="0"/>
    </row>
    <row r="19" customFormat="false" ht="12.75" hidden="false" customHeight="false" outlineLevel="0" collapsed="false">
      <c r="A19" s="18" t="n">
        <f aca="false">B19-0.5</f>
        <v>2.25</v>
      </c>
      <c r="B19" s="18" t="n">
        <v>2.75</v>
      </c>
      <c r="C19" s="18" t="n">
        <v>24.6</v>
      </c>
      <c r="D19" s="18" t="n">
        <v>-88</v>
      </c>
      <c r="E19" s="18" t="n">
        <v>45</v>
      </c>
      <c r="F19" s="27" t="n">
        <f aca="false">E19*0.5144</f>
        <v>23.148</v>
      </c>
      <c r="G19" s="22" t="e">
        <f aca="false">arclethnm(C18,D18,C19,D19)/6</f>
        <v>#NAME?</v>
      </c>
      <c r="H19" s="22" t="e">
        <f aca="false">G19*0.5144</f>
        <v>#NAME?</v>
      </c>
      <c r="I19" s="0"/>
    </row>
    <row r="20" customFormat="false" ht="12.75" hidden="false" customHeight="false" outlineLevel="0" collapsed="false">
      <c r="A20" s="18" t="n">
        <f aca="false">B20-0.5</f>
        <v>2.5</v>
      </c>
      <c r="B20" s="18" t="n">
        <v>3</v>
      </c>
      <c r="C20" s="18" t="n">
        <v>24.8</v>
      </c>
      <c r="D20" s="18" t="n">
        <v>-88.9</v>
      </c>
      <c r="E20" s="18" t="n">
        <v>50</v>
      </c>
      <c r="F20" s="27" t="n">
        <f aca="false">E20*0.5144</f>
        <v>25.72</v>
      </c>
      <c r="G20" s="22" t="e">
        <f aca="false">arclethnm(C19,D19,C20,D20)/6</f>
        <v>#NAME?</v>
      </c>
      <c r="H20" s="22" t="e">
        <f aca="false">G20*0.5144</f>
        <v>#NAME?</v>
      </c>
      <c r="I20" s="0"/>
    </row>
    <row r="21" customFormat="false" ht="12.75" hidden="false" customHeight="false" outlineLevel="0" collapsed="false">
      <c r="A21" s="18" t="n">
        <f aca="false">B21-0.5</f>
        <v>2.75</v>
      </c>
      <c r="B21" s="18" t="n">
        <v>3.25</v>
      </c>
      <c r="C21" s="18" t="n">
        <v>25.4</v>
      </c>
      <c r="D21" s="18" t="n">
        <v>-89.5</v>
      </c>
      <c r="E21" s="18" t="n">
        <v>60</v>
      </c>
      <c r="F21" s="27" t="n">
        <f aca="false">E21*0.5144</f>
        <v>30.864</v>
      </c>
      <c r="G21" s="22" t="e">
        <f aca="false">arclethnm(C20,D20,C21,D21)/6</f>
        <v>#NAME?</v>
      </c>
      <c r="H21" s="22" t="e">
        <f aca="false">G21*0.5144</f>
        <v>#NAME?</v>
      </c>
      <c r="I21" s="0"/>
    </row>
    <row r="22" customFormat="false" ht="12.75" hidden="false" customHeight="false" outlineLevel="0" collapsed="false">
      <c r="A22" s="18" t="n">
        <f aca="false">B22-0.5</f>
        <v>3</v>
      </c>
      <c r="B22" s="18" t="n">
        <v>3.5</v>
      </c>
      <c r="C22" s="18" t="n">
        <v>25.9</v>
      </c>
      <c r="D22" s="18" t="n">
        <v>-89.6</v>
      </c>
      <c r="E22" s="18" t="n">
        <v>65</v>
      </c>
      <c r="F22" s="27" t="n">
        <f aca="false">E22*0.5144</f>
        <v>33.436</v>
      </c>
      <c r="G22" s="22" t="e">
        <f aca="false">arclethnm(C21,D21,C22,D22)/6</f>
        <v>#NAME?</v>
      </c>
      <c r="H22" s="22" t="e">
        <f aca="false">G22*0.5144</f>
        <v>#NAME?</v>
      </c>
      <c r="I22" s="0"/>
    </row>
    <row r="23" customFormat="false" ht="12.75" hidden="false" customHeight="false" outlineLevel="0" collapsed="false">
      <c r="A23" s="18" t="n">
        <f aca="false">B23-0.5</f>
        <v>3.25</v>
      </c>
      <c r="B23" s="18" t="n">
        <v>3.75</v>
      </c>
      <c r="C23" s="18" t="n">
        <v>26</v>
      </c>
      <c r="D23" s="18" t="n">
        <v>-89.3</v>
      </c>
      <c r="E23" s="18" t="n">
        <v>70</v>
      </c>
      <c r="F23" s="27" t="n">
        <f aca="false">E23*0.5144</f>
        <v>36.008</v>
      </c>
      <c r="G23" s="22" t="e">
        <f aca="false">arclethnm(C22,D22,C23,D23)/6</f>
        <v>#NAME?</v>
      </c>
      <c r="H23" s="22" t="e">
        <f aca="false">G23*0.5144</f>
        <v>#NAME?</v>
      </c>
      <c r="I23" s="0"/>
    </row>
    <row r="24" customFormat="false" ht="12.75" hidden="false" customHeight="false" outlineLevel="0" collapsed="false">
      <c r="A24" s="18" t="n">
        <f aca="false">B24-0.5</f>
        <v>3.5</v>
      </c>
      <c r="B24" s="18" t="n">
        <v>4</v>
      </c>
      <c r="C24" s="18" t="n">
        <v>26</v>
      </c>
      <c r="D24" s="18" t="n">
        <v>-88.9</v>
      </c>
      <c r="E24" s="18" t="n">
        <v>70</v>
      </c>
      <c r="F24" s="27" t="n">
        <f aca="false">E24*0.5144</f>
        <v>36.008</v>
      </c>
      <c r="G24" s="22" t="e">
        <f aca="false">arclethnm(C23,D23,C24,D24)/6</f>
        <v>#NAME?</v>
      </c>
      <c r="H24" s="22" t="e">
        <f aca="false">G24*0.5144</f>
        <v>#NAME?</v>
      </c>
      <c r="I24" s="0"/>
    </row>
    <row r="25" customFormat="false" ht="12.75" hidden="false" customHeight="false" outlineLevel="0" collapsed="false">
      <c r="A25" s="18" t="n">
        <f aca="false">B25-0.5</f>
        <v>3.75</v>
      </c>
      <c r="B25" s="18" t="n">
        <v>4.25</v>
      </c>
      <c r="C25" s="18" t="n">
        <v>25.8</v>
      </c>
      <c r="D25" s="18" t="n">
        <v>-88.6</v>
      </c>
      <c r="E25" s="18" t="n">
        <v>75</v>
      </c>
      <c r="F25" s="27" t="n">
        <f aca="false">E25*0.5144</f>
        <v>38.58</v>
      </c>
      <c r="G25" s="22" t="e">
        <f aca="false">arclethnm(C24,D24,C25,D25)/6</f>
        <v>#NAME?</v>
      </c>
      <c r="H25" s="22" t="e">
        <f aca="false">G25*0.5144</f>
        <v>#NAME?</v>
      </c>
      <c r="I25" s="0"/>
    </row>
    <row r="26" customFormat="false" ht="12.75" hidden="false" customHeight="false" outlineLevel="0" collapsed="false">
      <c r="A26" s="18" t="n">
        <f aca="false">B26-0.5</f>
        <v>4</v>
      </c>
      <c r="B26" s="18" t="n">
        <v>4.5</v>
      </c>
      <c r="C26" s="18" t="n">
        <v>25.6</v>
      </c>
      <c r="D26" s="18" t="n">
        <v>-88.3</v>
      </c>
      <c r="E26" s="18" t="n">
        <v>75</v>
      </c>
      <c r="F26" s="27" t="n">
        <f aca="false">E26*0.5144</f>
        <v>38.58</v>
      </c>
      <c r="G26" s="22" t="e">
        <f aca="false">arclethnm(C25,D25,C26,D26)/6</f>
        <v>#NAME?</v>
      </c>
      <c r="H26" s="22" t="e">
        <f aca="false">G26*0.5144</f>
        <v>#NAME?</v>
      </c>
      <c r="I26" s="0"/>
    </row>
    <row r="27" customFormat="false" ht="12.75" hidden="false" customHeight="false" outlineLevel="0" collapsed="false">
      <c r="A27" s="18" t="n">
        <f aca="false">B27-0.5</f>
        <v>4.25</v>
      </c>
      <c r="B27" s="18" t="n">
        <v>4.75</v>
      </c>
      <c r="C27" s="18" t="n">
        <v>25.3</v>
      </c>
      <c r="D27" s="18" t="n">
        <v>-88.1</v>
      </c>
      <c r="E27" s="18" t="n">
        <v>75</v>
      </c>
      <c r="F27" s="27" t="n">
        <f aca="false">E27*0.5144</f>
        <v>38.58</v>
      </c>
      <c r="G27" s="22" t="e">
        <f aca="false">arclethnm(C26,D26,C27,D27)/6</f>
        <v>#NAME?</v>
      </c>
      <c r="H27" s="22" t="e">
        <f aca="false">G27*0.5144</f>
        <v>#NAME?</v>
      </c>
      <c r="I27" s="0"/>
    </row>
    <row r="28" customFormat="false" ht="12.75" hidden="false" customHeight="false" outlineLevel="0" collapsed="false">
      <c r="A28" s="18" t="n">
        <f aca="false">B28-0.5</f>
        <v>4.5</v>
      </c>
      <c r="B28" s="18" t="n">
        <v>5</v>
      </c>
      <c r="C28" s="18" t="n">
        <v>24.9</v>
      </c>
      <c r="D28" s="18" t="n">
        <v>-88</v>
      </c>
      <c r="E28" s="18" t="n">
        <v>80</v>
      </c>
      <c r="F28" s="27" t="n">
        <f aca="false">E28*0.5144</f>
        <v>41.152</v>
      </c>
      <c r="G28" s="22" t="e">
        <f aca="false">arclethnm(C27,D27,C28,D28)/6</f>
        <v>#NAME?</v>
      </c>
      <c r="H28" s="22" t="e">
        <f aca="false">G28*0.5144</f>
        <v>#NAME?</v>
      </c>
      <c r="I28" s="0"/>
    </row>
    <row r="29" customFormat="false" ht="12.75" hidden="false" customHeight="false" outlineLevel="0" collapsed="false">
      <c r="A29" s="18" t="n">
        <f aca="false">B29-0.5</f>
        <v>4.75</v>
      </c>
      <c r="B29" s="18" t="n">
        <v>5.25</v>
      </c>
      <c r="C29" s="18" t="n">
        <v>24.5</v>
      </c>
      <c r="D29" s="18" t="n">
        <v>-87.8</v>
      </c>
      <c r="E29" s="18" t="n">
        <v>80</v>
      </c>
      <c r="F29" s="27" t="n">
        <f aca="false">E29*0.5144</f>
        <v>41.152</v>
      </c>
      <c r="G29" s="22" t="e">
        <f aca="false">arclethnm(C28,D28,C29,D29)/6</f>
        <v>#NAME?</v>
      </c>
      <c r="H29" s="22" t="e">
        <f aca="false">G29*0.5144</f>
        <v>#NAME?</v>
      </c>
      <c r="I29" s="0"/>
    </row>
    <row r="30" customFormat="false" ht="12.75" hidden="false" customHeight="false" outlineLevel="0" collapsed="false">
      <c r="A30" s="18" t="n">
        <f aca="false">B30-0.5</f>
        <v>5</v>
      </c>
      <c r="B30" s="18" t="n">
        <v>5.5</v>
      </c>
      <c r="C30" s="18" t="n">
        <v>24.1</v>
      </c>
      <c r="D30" s="18" t="n">
        <v>-87.6</v>
      </c>
      <c r="E30" s="18" t="n">
        <v>80</v>
      </c>
      <c r="F30" s="27" t="n">
        <f aca="false">E30*0.5144</f>
        <v>41.152</v>
      </c>
      <c r="G30" s="22" t="e">
        <f aca="false">arclethnm(C29,D29,C30,D30)/6</f>
        <v>#NAME?</v>
      </c>
      <c r="H30" s="22" t="e">
        <f aca="false">G30*0.5144</f>
        <v>#NAME?</v>
      </c>
      <c r="I30" s="0"/>
    </row>
    <row r="31" customFormat="false" ht="12.75" hidden="false" customHeight="false" outlineLevel="0" collapsed="false">
      <c r="A31" s="18" t="n">
        <f aca="false">B31-0.5</f>
        <v>5.25</v>
      </c>
      <c r="B31" s="18" t="n">
        <v>5.75</v>
      </c>
      <c r="C31" s="18" t="n">
        <v>23.4</v>
      </c>
      <c r="D31" s="18" t="n">
        <v>-87.6</v>
      </c>
      <c r="E31" s="18" t="n">
        <v>80</v>
      </c>
      <c r="F31" s="27" t="n">
        <f aca="false">E31*0.5144</f>
        <v>41.152</v>
      </c>
      <c r="G31" s="22" t="e">
        <f aca="false">arclethnm(C30,D30,C31,D31)/6</f>
        <v>#NAME?</v>
      </c>
      <c r="H31" s="22" t="e">
        <f aca="false">G31*0.5144</f>
        <v>#NAME?</v>
      </c>
      <c r="I31" s="0"/>
    </row>
    <row r="32" customFormat="false" ht="12.75" hidden="false" customHeight="false" outlineLevel="0" collapsed="false">
      <c r="A32" s="18" t="n">
        <f aca="false">B32-0.5</f>
        <v>5.5</v>
      </c>
      <c r="B32" s="18" t="n">
        <v>6</v>
      </c>
      <c r="C32" s="18" t="n">
        <v>23</v>
      </c>
      <c r="D32" s="18" t="n">
        <v>-88.2</v>
      </c>
      <c r="E32" s="18" t="n">
        <v>80</v>
      </c>
      <c r="F32" s="27" t="n">
        <f aca="false">E32*0.5144</f>
        <v>41.152</v>
      </c>
      <c r="G32" s="22" t="e">
        <f aca="false">arclethnm(C31,D31,C32,D32)/6</f>
        <v>#NAME?</v>
      </c>
      <c r="H32" s="22" t="e">
        <f aca="false">G32*0.5144</f>
        <v>#NAME?</v>
      </c>
      <c r="I32" s="0"/>
    </row>
    <row r="33" customFormat="false" ht="12.75" hidden="false" customHeight="false" outlineLevel="0" collapsed="false">
      <c r="A33" s="18" t="n">
        <f aca="false">B33-0.5</f>
        <v>5.75</v>
      </c>
      <c r="B33" s="18" t="n">
        <v>6.25</v>
      </c>
      <c r="C33" s="18" t="n">
        <v>23.4</v>
      </c>
      <c r="D33" s="18" t="n">
        <v>-88.7</v>
      </c>
      <c r="E33" s="18" t="n">
        <v>80</v>
      </c>
      <c r="F33" s="27" t="n">
        <f aca="false">E33*0.5144</f>
        <v>41.152</v>
      </c>
      <c r="G33" s="22" t="e">
        <f aca="false">arclethnm(C32,D32,C33,D33)/6</f>
        <v>#NAME?</v>
      </c>
      <c r="H33" s="22" t="e">
        <f aca="false">G33*0.5144</f>
        <v>#NAME?</v>
      </c>
      <c r="I33" s="0"/>
    </row>
    <row r="34" customFormat="false" ht="12.75" hidden="false" customHeight="false" outlineLevel="0" collapsed="false">
      <c r="A34" s="18" t="n">
        <f aca="false">B34-0.5</f>
        <v>6</v>
      </c>
      <c r="B34" s="18" t="n">
        <v>6.5</v>
      </c>
      <c r="C34" s="18" t="n">
        <v>24</v>
      </c>
      <c r="D34" s="18" t="n">
        <v>-89.2</v>
      </c>
      <c r="E34" s="18" t="n">
        <v>80</v>
      </c>
      <c r="F34" s="27" t="n">
        <f aca="false">E34*0.5144</f>
        <v>41.152</v>
      </c>
      <c r="G34" s="22" t="e">
        <f aca="false">arclethnm(C33,D33,C34,D34)/6</f>
        <v>#NAME?</v>
      </c>
      <c r="H34" s="22" t="e">
        <f aca="false">G34*0.5144</f>
        <v>#NAME?</v>
      </c>
      <c r="I34" s="0"/>
    </row>
    <row r="35" customFormat="false" ht="12.75" hidden="false" customHeight="false" outlineLevel="0" collapsed="false">
      <c r="A35" s="18" t="n">
        <f aca="false">B35-0.5</f>
        <v>6.25</v>
      </c>
      <c r="B35" s="18" t="n">
        <v>6.75</v>
      </c>
      <c r="C35" s="18" t="n">
        <v>24.4</v>
      </c>
      <c r="D35" s="18" t="n">
        <v>-89.6</v>
      </c>
      <c r="E35" s="18" t="n">
        <v>80</v>
      </c>
      <c r="F35" s="27" t="n">
        <f aca="false">E35*0.5144</f>
        <v>41.152</v>
      </c>
      <c r="G35" s="22" t="e">
        <f aca="false">arclethnm(C34,D34,C35,D35)/6</f>
        <v>#NAME?</v>
      </c>
      <c r="H35" s="22" t="e">
        <f aca="false">G35*0.5144</f>
        <v>#NAME?</v>
      </c>
      <c r="I35" s="0"/>
    </row>
    <row r="36" customFormat="false" ht="12.75" hidden="false" customHeight="false" outlineLevel="0" collapsed="false">
      <c r="A36" s="18" t="n">
        <f aca="false">B36-0.5</f>
        <v>6.5</v>
      </c>
      <c r="B36" s="18" t="n">
        <v>7</v>
      </c>
      <c r="C36" s="18" t="n">
        <v>24.9</v>
      </c>
      <c r="D36" s="18" t="n">
        <v>-90</v>
      </c>
      <c r="E36" s="18" t="n">
        <v>80</v>
      </c>
      <c r="F36" s="27" t="n">
        <f aca="false">E36*0.5144</f>
        <v>41.152</v>
      </c>
      <c r="G36" s="22" t="e">
        <f aca="false">arclethnm(C35,D35,C36,D36)/6</f>
        <v>#NAME?</v>
      </c>
      <c r="H36" s="22" t="e">
        <f aca="false">G36*0.5144</f>
        <v>#NAME?</v>
      </c>
      <c r="I36" s="0"/>
    </row>
    <row r="37" customFormat="false" ht="12.75" hidden="false" customHeight="false" outlineLevel="0" collapsed="false">
      <c r="A37" s="18" t="n">
        <f aca="false">B37-0.5</f>
        <v>6.75</v>
      </c>
      <c r="B37" s="18" t="n">
        <v>7.25</v>
      </c>
      <c r="C37" s="18" t="n">
        <v>25.4</v>
      </c>
      <c r="D37" s="18" t="n">
        <v>-90.7</v>
      </c>
      <c r="E37" s="18" t="n">
        <v>75</v>
      </c>
      <c r="F37" s="27" t="n">
        <f aca="false">E37*0.5144</f>
        <v>38.58</v>
      </c>
      <c r="G37" s="22" t="e">
        <f aca="false">arclethnm(C36,D36,C37,D37)/6</f>
        <v>#NAME?</v>
      </c>
      <c r="H37" s="22" t="e">
        <f aca="false">G37*0.5144</f>
        <v>#NAME?</v>
      </c>
      <c r="I37" s="0"/>
    </row>
    <row r="38" customFormat="false" ht="12.75" hidden="false" customHeight="false" outlineLevel="0" collapsed="false">
      <c r="A38" s="18" t="n">
        <f aca="false">B38-0.5</f>
        <v>7</v>
      </c>
      <c r="B38" s="18" t="n">
        <v>7.5</v>
      </c>
      <c r="C38" s="18" t="n">
        <v>25.9</v>
      </c>
      <c r="D38" s="18" t="n">
        <v>-91.6</v>
      </c>
      <c r="E38" s="18" t="n">
        <v>75</v>
      </c>
      <c r="F38" s="27" t="n">
        <f aca="false">E38*0.5144</f>
        <v>38.58</v>
      </c>
      <c r="G38" s="22" t="e">
        <f aca="false">arclethnm(C37,D37,C38,D38)/6</f>
        <v>#NAME?</v>
      </c>
      <c r="H38" s="22" t="e">
        <f aca="false">G38*0.5144</f>
        <v>#NAME?</v>
      </c>
      <c r="I38" s="0"/>
    </row>
    <row r="39" customFormat="false" ht="12.75" hidden="false" customHeight="false" outlineLevel="0" collapsed="false">
      <c r="A39" s="18" t="n">
        <f aca="false">B39-0.5</f>
        <v>7.25</v>
      </c>
      <c r="B39" s="18" t="n">
        <v>7.75</v>
      </c>
      <c r="C39" s="18" t="n">
        <v>26.3</v>
      </c>
      <c r="D39" s="18" t="n">
        <v>-92.6</v>
      </c>
      <c r="E39" s="18" t="n">
        <v>75</v>
      </c>
      <c r="F39" s="27" t="n">
        <f aca="false">E39*0.5144</f>
        <v>38.58</v>
      </c>
      <c r="G39" s="22" t="e">
        <f aca="false">arclethnm(C38,D38,C39,D39)/6</f>
        <v>#NAME?</v>
      </c>
      <c r="H39" s="22" t="e">
        <f aca="false">G39*0.5144</f>
        <v>#NAME?</v>
      </c>
      <c r="I39" s="0"/>
    </row>
    <row r="40" customFormat="false" ht="12.75" hidden="false" customHeight="false" outlineLevel="0" collapsed="false">
      <c r="A40" s="18" t="n">
        <f aca="false">B40-0.5</f>
        <v>7.42</v>
      </c>
      <c r="B40" s="18" t="n">
        <v>7.92</v>
      </c>
      <c r="C40" s="18" t="n">
        <v>26.6</v>
      </c>
      <c r="D40" s="18" t="n">
        <v>-93.7</v>
      </c>
      <c r="E40" s="18" t="n">
        <v>75</v>
      </c>
      <c r="F40" s="27" t="n">
        <f aca="false">E40*0.5144</f>
        <v>38.58</v>
      </c>
      <c r="G40" s="22" t="e">
        <f aca="false">arclethnm(C39,D39,C40,D40)/6</f>
        <v>#NAME?</v>
      </c>
      <c r="H40" s="22" t="e">
        <f aca="false">G40*0.5144</f>
        <v>#NAME?</v>
      </c>
      <c r="I40" s="0"/>
    </row>
    <row r="41" customFormat="false" ht="12.75" hidden="false" customHeight="false" outlineLevel="0" collapsed="false">
      <c r="A41" s="18" t="n">
        <f aca="false">B41-0.5</f>
        <v>7.5</v>
      </c>
      <c r="B41" s="18" t="n">
        <v>8</v>
      </c>
      <c r="C41" s="18" t="n">
        <v>27.1</v>
      </c>
      <c r="D41" s="18" t="n">
        <v>-94.6</v>
      </c>
      <c r="E41" s="18" t="n">
        <v>70</v>
      </c>
      <c r="F41" s="27" t="n">
        <f aca="false">E41*0.5144</f>
        <v>36.008</v>
      </c>
      <c r="G41" s="22" t="e">
        <f aca="false">arclethnm(C40,D40,C41,D41)/6</f>
        <v>#NAME?</v>
      </c>
      <c r="H41" s="22" t="e">
        <f aca="false">G41*0.5144</f>
        <v>#NAME?</v>
      </c>
      <c r="I41" s="0"/>
    </row>
    <row r="42" customFormat="false" ht="12.75" hidden="false" customHeight="false" outlineLevel="0" collapsed="false">
      <c r="A42" s="18" t="n">
        <f aca="false">B42-0.5</f>
        <v>7.75</v>
      </c>
      <c r="B42" s="18" t="n">
        <v>8.25</v>
      </c>
      <c r="C42" s="18" t="n">
        <v>27.7</v>
      </c>
      <c r="D42" s="18" t="n">
        <v>-95.3</v>
      </c>
      <c r="E42" s="18" t="n">
        <v>70</v>
      </c>
      <c r="F42" s="27" t="n">
        <f aca="false">E42*0.5144</f>
        <v>36.008</v>
      </c>
      <c r="G42" s="22" t="e">
        <f aca="false">arclethnm(C41,D41,C42,D42)/6</f>
        <v>#NAME?</v>
      </c>
      <c r="H42" s="22" t="e">
        <f aca="false">G42*0.5144</f>
        <v>#NAME?</v>
      </c>
      <c r="I42" s="0"/>
    </row>
    <row r="43" customFormat="false" ht="12.75" hidden="false" customHeight="false" outlineLevel="0" collapsed="false">
      <c r="A43" s="18" t="n">
        <f aca="false">B43-0.5</f>
        <v>8</v>
      </c>
      <c r="B43" s="18" t="n">
        <v>8.5</v>
      </c>
      <c r="C43" s="18" t="n">
        <v>28.3</v>
      </c>
      <c r="D43" s="18" t="n">
        <v>-95.5</v>
      </c>
      <c r="E43" s="18" t="n">
        <v>70</v>
      </c>
      <c r="F43" s="27" t="n">
        <f aca="false">E43*0.5144</f>
        <v>36.008</v>
      </c>
      <c r="G43" s="22" t="e">
        <f aca="false">arclethnm(C42,D42,C43,D43)/6</f>
        <v>#NAME?</v>
      </c>
      <c r="H43" s="22" t="e">
        <f aca="false">G43*0.5144</f>
        <v>#NAME?</v>
      </c>
      <c r="I43" s="0"/>
    </row>
    <row r="44" customFormat="false" ht="12.75" hidden="false" customHeight="false" outlineLevel="0" collapsed="false">
      <c r="A44" s="18" t="n">
        <f aca="false">B44-0.5</f>
        <v>8.25</v>
      </c>
      <c r="B44" s="18" t="n">
        <v>8.75</v>
      </c>
      <c r="C44" s="18" t="n">
        <v>29</v>
      </c>
      <c r="D44" s="18" t="n">
        <v>-95.5</v>
      </c>
      <c r="E44" s="18" t="n">
        <v>60</v>
      </c>
      <c r="F44" s="27" t="n">
        <f aca="false">E44*0.5144</f>
        <v>30.864</v>
      </c>
      <c r="G44" s="22" t="e">
        <f aca="false">arclethnm(C43,D43,C44,D44)/6</f>
        <v>#NAME?</v>
      </c>
      <c r="H44" s="22" t="e">
        <f aca="false">G44*0.5144</f>
        <v>#NAME?</v>
      </c>
      <c r="I44" s="0"/>
    </row>
    <row r="45" customFormat="false" ht="12.75" hidden="false" customHeight="false" outlineLevel="0" collapsed="false">
      <c r="A45" s="18" t="n">
        <f aca="false">B45-0.5</f>
        <v>8.5</v>
      </c>
      <c r="B45" s="18" t="n">
        <v>9</v>
      </c>
      <c r="C45" s="18" t="n">
        <v>29.8</v>
      </c>
      <c r="D45" s="18" t="n">
        <v>-95.4</v>
      </c>
      <c r="E45" s="18" t="n">
        <v>55</v>
      </c>
      <c r="F45" s="27" t="n">
        <f aca="false">E45*0.5144</f>
        <v>28.292</v>
      </c>
      <c r="G45" s="22" t="e">
        <f aca="false">arclethnm(C44,D44,C45,D45)/6</f>
        <v>#NAME?</v>
      </c>
      <c r="H45" s="22" t="e">
        <f aca="false">G45*0.5144</f>
        <v>#NAME?</v>
      </c>
      <c r="I45" s="0"/>
    </row>
    <row r="46" customFormat="false" ht="12.75" hidden="false" customHeight="false" outlineLevel="0" collapsed="false">
      <c r="A46" s="18" t="n">
        <f aca="false">B46-0.5</f>
        <v>8.75</v>
      </c>
      <c r="B46" s="18" t="n">
        <v>9.25</v>
      </c>
      <c r="C46" s="18" t="n">
        <v>31.6</v>
      </c>
      <c r="D46" s="18" t="n">
        <v>-94.7</v>
      </c>
      <c r="E46" s="18" t="n">
        <v>45</v>
      </c>
      <c r="F46" s="27" t="n">
        <f aca="false">E46*0.5144</f>
        <v>23.148</v>
      </c>
      <c r="G46" s="22" t="e">
        <f aca="false">arclethnm(C45,D45,C46,D46)/6</f>
        <v>#NAME?</v>
      </c>
      <c r="H46" s="22" t="e">
        <f aca="false">G46*0.5144</f>
        <v>#NAME?</v>
      </c>
      <c r="I46" s="0"/>
    </row>
    <row r="47" customFormat="false" ht="12.75" hidden="false" customHeight="false" outlineLevel="0" collapsed="false">
      <c r="A47" s="18" t="n">
        <f aca="false">B47-0.5</f>
        <v>9</v>
      </c>
      <c r="B47" s="18" t="n">
        <v>9.5</v>
      </c>
      <c r="C47" s="18" t="n">
        <v>34.3</v>
      </c>
      <c r="D47" s="18" t="n">
        <v>-92.7</v>
      </c>
      <c r="E47" s="18" t="n">
        <v>35</v>
      </c>
      <c r="F47" s="27" t="n">
        <f aca="false">E47*0.5144</f>
        <v>18.004</v>
      </c>
      <c r="G47" s="22" t="e">
        <f aca="false">arclethnm(C46,D46,C47,D47)/6</f>
        <v>#NAME?</v>
      </c>
      <c r="H47" s="22" t="e">
        <f aca="false">G47*0.5144</f>
        <v>#NAME?</v>
      </c>
      <c r="I47" s="0"/>
    </row>
    <row r="48" customFormat="false" ht="12.75" hidden="false" customHeight="false" outlineLevel="0" collapsed="false">
      <c r="A48" s="18" t="n">
        <f aca="false">B48-0.5</f>
        <v>9.25</v>
      </c>
      <c r="B48" s="18" t="n">
        <v>9.75</v>
      </c>
      <c r="C48" s="18" t="n">
        <v>36.9</v>
      </c>
      <c r="D48" s="18" t="n">
        <v>-90.9</v>
      </c>
      <c r="E48" s="18" t="n">
        <v>35</v>
      </c>
      <c r="F48" s="27" t="n">
        <f aca="false">E48*0.5144</f>
        <v>18.004</v>
      </c>
      <c r="G48" s="22" t="e">
        <f aca="false">arclethnm(C47,D47,C48,D48)/6</f>
        <v>#NAME?</v>
      </c>
      <c r="H48" s="22" t="e">
        <f aca="false">G48*0.5144</f>
        <v>#NAME?</v>
      </c>
      <c r="I48" s="0"/>
    </row>
    <row r="49" customFormat="false" ht="12.75" hidden="false" customHeight="false" outlineLevel="0" collapsed="false">
      <c r="A49" s="18" t="n">
        <f aca="false">B49-0.5</f>
        <v>9.5</v>
      </c>
      <c r="B49" s="18" t="n">
        <v>10</v>
      </c>
      <c r="C49" s="18" t="n">
        <v>39.5</v>
      </c>
      <c r="D49" s="18" t="n">
        <v>-88.2</v>
      </c>
      <c r="E49" s="18" t="n">
        <v>35</v>
      </c>
      <c r="F49" s="27" t="n">
        <f aca="false">E49*0.5144</f>
        <v>18.004</v>
      </c>
      <c r="G49" s="22" t="e">
        <f aca="false">arclethnm(C48,D48,C49,D49)/6</f>
        <v>#NAME?</v>
      </c>
      <c r="H49" s="22" t="e">
        <f aca="false">G49*0.5144</f>
        <v>#NAME?</v>
      </c>
      <c r="I49" s="0"/>
    </row>
    <row r="50" customFormat="false" ht="12.75" hidden="false" customHeight="false" outlineLevel="0" collapsed="false">
      <c r="A50" s="18" t="n">
        <f aca="false">B50-0.5</f>
        <v>9.75</v>
      </c>
      <c r="B50" s="18" t="n">
        <v>10.25</v>
      </c>
      <c r="C50" s="18" t="n">
        <v>42.2</v>
      </c>
      <c r="D50" s="18" t="n">
        <v>-85.5</v>
      </c>
      <c r="E50" s="18" t="n">
        <v>30</v>
      </c>
      <c r="F50" s="27" t="n">
        <f aca="false">E50*0.5144</f>
        <v>15.432</v>
      </c>
      <c r="G50" s="22" t="e">
        <f aca="false">arclethnm(C49,D49,C50,D50)/6</f>
        <v>#NAME?</v>
      </c>
      <c r="H50" s="22" t="e">
        <f aca="false">G50*0.5144</f>
        <v>#NAME?</v>
      </c>
      <c r="I50" s="0"/>
    </row>
    <row r="51" customFormat="false" ht="12.75" hidden="false" customHeight="false" outlineLevel="0" collapsed="false">
      <c r="A51" s="18" t="n">
        <f aca="false">B51-0.5</f>
        <v>10</v>
      </c>
      <c r="B51" s="18" t="n">
        <v>10.5</v>
      </c>
      <c r="C51" s="18" t="n">
        <v>44.5</v>
      </c>
      <c r="D51" s="18" t="n">
        <v>-82.8</v>
      </c>
      <c r="E51" s="18" t="n">
        <v>30</v>
      </c>
      <c r="F51" s="27" t="n">
        <f aca="false">E51*0.5144</f>
        <v>15.432</v>
      </c>
      <c r="G51" s="22" t="e">
        <f aca="false">arclethnm(C50,D50,C51,D51)/6</f>
        <v>#NAME?</v>
      </c>
      <c r="H51" s="22" t="e">
        <f aca="false">G51*0.5144</f>
        <v>#NAME?</v>
      </c>
      <c r="I51" s="0"/>
    </row>
    <row r="52" customFormat="false" ht="12.75" hidden="false" customHeight="false" outlineLevel="0" collapsed="false">
      <c r="A52" s="0"/>
      <c r="B52" s="0"/>
      <c r="C52" s="0"/>
      <c r="D52" s="0"/>
      <c r="E52" s="0"/>
      <c r="F52" s="27"/>
      <c r="G52" s="0"/>
      <c r="H52" s="0"/>
      <c r="I52" s="0"/>
    </row>
    <row r="53" customFormat="false" ht="12.75" hidden="false" customHeight="false" outlineLevel="0" collapsed="false">
      <c r="A53" s="0"/>
      <c r="B53" s="0"/>
      <c r="C53" s="0"/>
      <c r="D53" s="0"/>
      <c r="E53" s="0"/>
      <c r="F53" s="27"/>
      <c r="G53" s="0"/>
      <c r="H53" s="0"/>
      <c r="I53" s="0"/>
    </row>
    <row r="54" customFormat="false" ht="12.75" hidden="false" customHeight="false" outlineLevel="0" collapsed="false">
      <c r="A54" s="0"/>
      <c r="B54" s="0"/>
      <c r="C54" s="0"/>
      <c r="D54" s="0"/>
      <c r="E54" s="0"/>
      <c r="F54" s="27"/>
      <c r="G54" s="0"/>
      <c r="H54" s="0"/>
      <c r="I54" s="0"/>
    </row>
    <row r="55" customFormat="false" ht="12.75" hidden="false" customHeight="false" outlineLevel="0" collapsed="false">
      <c r="A55" s="0"/>
      <c r="B55" s="28" t="s">
        <v>141</v>
      </c>
      <c r="C55" s="29" t="s">
        <v>18</v>
      </c>
      <c r="D55" s="0"/>
      <c r="E55" s="0"/>
      <c r="F55" s="27"/>
      <c r="G55" s="0"/>
      <c r="H55" s="0"/>
      <c r="I55" s="0"/>
    </row>
    <row r="56" customFormat="false" ht="12.75" hidden="false" customHeight="false" outlineLevel="0" collapsed="false">
      <c r="A56" s="18" t="n">
        <v>1</v>
      </c>
      <c r="B56" s="24" t="n">
        <v>1.5</v>
      </c>
      <c r="C56" s="18" t="n">
        <v>21.3</v>
      </c>
      <c r="D56" s="18" t="n">
        <v>-85.5</v>
      </c>
      <c r="E56" s="18" t="n">
        <v>35</v>
      </c>
      <c r="F56" s="27" t="n">
        <f aca="false">E56*0.5144</f>
        <v>18.004</v>
      </c>
      <c r="G56" s="0"/>
      <c r="H56" s="0"/>
      <c r="I56" s="0"/>
    </row>
    <row r="57" customFormat="false" ht="12.75" hidden="false" customHeight="false" outlineLevel="0" collapsed="false">
      <c r="A57" s="18" t="n">
        <f aca="false">B57-0.5</f>
        <v>1.25</v>
      </c>
      <c r="B57" s="24" t="n">
        <v>1.75</v>
      </c>
      <c r="C57" s="18" t="n">
        <v>22.2</v>
      </c>
      <c r="D57" s="18" t="n">
        <v>-86</v>
      </c>
      <c r="E57" s="18" t="n">
        <v>35</v>
      </c>
      <c r="F57" s="27" t="n">
        <f aca="false">E57*0.5144</f>
        <v>18.004</v>
      </c>
      <c r="G57" s="22" t="e">
        <f aca="false">arclethnm(C56,D56,C57,D57)/6</f>
        <v>#NAME?</v>
      </c>
      <c r="H57" s="22" t="e">
        <f aca="false">G57*0.5144</f>
        <v>#NAME?</v>
      </c>
      <c r="I57" s="0"/>
    </row>
    <row r="58" customFormat="false" ht="12.75" hidden="false" customHeight="false" outlineLevel="0" collapsed="false">
      <c r="A58" s="18" t="n">
        <f aca="false">B58-0.5</f>
        <v>1.5</v>
      </c>
      <c r="B58" s="24" t="n">
        <v>2</v>
      </c>
      <c r="C58" s="18" t="n">
        <v>23.1</v>
      </c>
      <c r="D58" s="18" t="n">
        <v>-86.5</v>
      </c>
      <c r="E58" s="18" t="n">
        <v>40</v>
      </c>
      <c r="F58" s="27" t="n">
        <f aca="false">E58*0.5144</f>
        <v>20.576</v>
      </c>
      <c r="G58" s="22" t="e">
        <f aca="false">arclethnm(C57,D57,C58,D58)/6</f>
        <v>#NAME?</v>
      </c>
      <c r="H58" s="22" t="e">
        <f aca="false">G58*0.5144</f>
        <v>#NAME?</v>
      </c>
      <c r="I58" s="0"/>
    </row>
    <row r="59" customFormat="false" ht="12.75" hidden="false" customHeight="false" outlineLevel="0" collapsed="false">
      <c r="A59" s="18" t="n">
        <f aca="false">B59-0.5</f>
        <v>1.75</v>
      </c>
      <c r="B59" s="24" t="n">
        <v>2.25</v>
      </c>
      <c r="C59" s="18" t="n">
        <v>24</v>
      </c>
      <c r="D59" s="18" t="n">
        <v>-87</v>
      </c>
      <c r="E59" s="18" t="n">
        <v>45</v>
      </c>
      <c r="F59" s="27" t="n">
        <f aca="false">E59*0.5144</f>
        <v>23.148</v>
      </c>
      <c r="G59" s="22" t="e">
        <f aca="false">arclethnm(C58,D58,C59,D59)/6</f>
        <v>#NAME?</v>
      </c>
      <c r="H59" s="22" t="e">
        <f aca="false">G59*0.5144</f>
        <v>#NAME?</v>
      </c>
      <c r="I59" s="0"/>
    </row>
    <row r="60" customFormat="false" ht="12.75" hidden="false" customHeight="false" outlineLevel="0" collapsed="false">
      <c r="A60" s="18" t="n">
        <f aca="false">B60-0.5</f>
        <v>2</v>
      </c>
      <c r="B60" s="24" t="n">
        <v>2.5</v>
      </c>
      <c r="C60" s="18" t="n">
        <v>25.2</v>
      </c>
      <c r="D60" s="18" t="n">
        <v>-87.6</v>
      </c>
      <c r="E60" s="18" t="n">
        <v>50</v>
      </c>
      <c r="F60" s="27" t="n">
        <f aca="false">E60*0.5144</f>
        <v>25.72</v>
      </c>
      <c r="G60" s="22" t="e">
        <f aca="false">arclethnm(C59,D59,C60,D60)/6</f>
        <v>#NAME?</v>
      </c>
      <c r="H60" s="22" t="e">
        <f aca="false">G60*0.5144</f>
        <v>#NAME?</v>
      </c>
      <c r="I60" s="0"/>
    </row>
    <row r="61" customFormat="false" ht="12.75" hidden="false" customHeight="false" outlineLevel="0" collapsed="false">
      <c r="A61" s="18" t="n">
        <f aca="false">B61-0.5</f>
        <v>2.25</v>
      </c>
      <c r="B61" s="24" t="n">
        <v>2.75</v>
      </c>
      <c r="C61" s="18" t="n">
        <v>26.5</v>
      </c>
      <c r="D61" s="18" t="n">
        <v>-88.3</v>
      </c>
      <c r="E61" s="18" t="n">
        <v>55</v>
      </c>
      <c r="F61" s="27" t="n">
        <f aca="false">E61*0.5144</f>
        <v>28.292</v>
      </c>
      <c r="G61" s="22" t="e">
        <f aca="false">arclethnm(C60,D60,C61,D61)/6</f>
        <v>#NAME?</v>
      </c>
      <c r="H61" s="22" t="e">
        <f aca="false">G61*0.5144</f>
        <v>#NAME?</v>
      </c>
      <c r="I61" s="0"/>
    </row>
    <row r="62" customFormat="false" ht="12.75" hidden="false" customHeight="false" outlineLevel="0" collapsed="false">
      <c r="A62" s="18" t="n">
        <f aca="false">B62-0.5</f>
        <v>2.5</v>
      </c>
      <c r="B62" s="24" t="n">
        <v>3</v>
      </c>
      <c r="C62" s="18" t="n">
        <v>27.4</v>
      </c>
      <c r="D62" s="18" t="n">
        <v>-89.3</v>
      </c>
      <c r="E62" s="18" t="n">
        <v>60</v>
      </c>
      <c r="F62" s="27" t="n">
        <f aca="false">E62*0.5144</f>
        <v>30.864</v>
      </c>
      <c r="G62" s="22" t="e">
        <f aca="false">arclethnm(C61,D61,C62,D62)/6</f>
        <v>#NAME?</v>
      </c>
      <c r="H62" s="22" t="e">
        <f aca="false">G62*0.5144</f>
        <v>#NAME?</v>
      </c>
      <c r="I62" s="0"/>
    </row>
    <row r="63" customFormat="false" ht="12.75" hidden="false" customHeight="false" outlineLevel="0" collapsed="false">
      <c r="A63" s="18" t="n">
        <f aca="false">B63-0.5</f>
        <v>2.75</v>
      </c>
      <c r="B63" s="24" t="n">
        <v>3.25</v>
      </c>
      <c r="C63" s="18" t="n">
        <v>27.9</v>
      </c>
      <c r="D63" s="18" t="n">
        <v>-90.3</v>
      </c>
      <c r="E63" s="18" t="n">
        <v>65</v>
      </c>
      <c r="F63" s="27" t="n">
        <f aca="false">E63*0.5144</f>
        <v>33.436</v>
      </c>
      <c r="G63" s="22" t="e">
        <f aca="false">arclethnm(C62,D62,C63,D63)/6</f>
        <v>#NAME?</v>
      </c>
      <c r="H63" s="22" t="e">
        <f aca="false">G63*0.5144</f>
        <v>#NAME?</v>
      </c>
      <c r="I63" s="0"/>
    </row>
    <row r="64" customFormat="false" ht="12.75" hidden="false" customHeight="false" outlineLevel="0" collapsed="false">
      <c r="A64" s="18" t="n">
        <f aca="false">B64-0.5</f>
        <v>3</v>
      </c>
      <c r="B64" s="24" t="n">
        <v>3.5</v>
      </c>
      <c r="C64" s="18" t="n">
        <v>28</v>
      </c>
      <c r="D64" s="18" t="n">
        <v>-90.8</v>
      </c>
      <c r="E64" s="18" t="n">
        <v>70</v>
      </c>
      <c r="F64" s="27" t="n">
        <f aca="false">E64*0.5144</f>
        <v>36.008</v>
      </c>
      <c r="G64" s="22" t="e">
        <f aca="false">arclethnm(C63,D63,C64,D64)/6</f>
        <v>#NAME?</v>
      </c>
      <c r="H64" s="22" t="e">
        <f aca="false">G64*0.5144</f>
        <v>#NAME?</v>
      </c>
      <c r="I64" s="0"/>
    </row>
    <row r="65" customFormat="false" ht="12.75" hidden="false" customHeight="false" outlineLevel="0" collapsed="false">
      <c r="A65" s="18" t="n">
        <f aca="false">B65-0.5</f>
        <v>3.25</v>
      </c>
      <c r="B65" s="24" t="n">
        <v>3.75</v>
      </c>
      <c r="C65" s="18" t="n">
        <v>28.1</v>
      </c>
      <c r="D65" s="18" t="n">
        <v>-91.3</v>
      </c>
      <c r="E65" s="18" t="n">
        <v>70</v>
      </c>
      <c r="F65" s="27" t="n">
        <f aca="false">E65*0.5144</f>
        <v>36.008</v>
      </c>
      <c r="G65" s="22" t="e">
        <f aca="false">arclethnm(C64,D64,C65,D65)/6</f>
        <v>#NAME?</v>
      </c>
      <c r="H65" s="22" t="e">
        <f aca="false">G65*0.5144</f>
        <v>#NAME?</v>
      </c>
      <c r="I65" s="0"/>
    </row>
    <row r="66" customFormat="false" ht="12.75" hidden="false" customHeight="false" outlineLevel="0" collapsed="false">
      <c r="A66" s="18" t="n">
        <f aca="false">B66-0.5</f>
        <v>3.5</v>
      </c>
      <c r="B66" s="24" t="n">
        <v>4</v>
      </c>
      <c r="C66" s="18" t="n">
        <v>28.1</v>
      </c>
      <c r="D66" s="18" t="n">
        <v>-91.7</v>
      </c>
      <c r="E66" s="18" t="n">
        <v>70</v>
      </c>
      <c r="F66" s="27" t="n">
        <f aca="false">E66*0.5144</f>
        <v>36.008</v>
      </c>
      <c r="G66" s="22" t="e">
        <f aca="false">arclethnm(C65,D65,C66,D66)/6</f>
        <v>#NAME?</v>
      </c>
      <c r="H66" s="22" t="e">
        <f aca="false">G66*0.5144</f>
        <v>#NAME?</v>
      </c>
      <c r="I66" s="0"/>
    </row>
    <row r="67" customFormat="false" ht="12.75" hidden="false" customHeight="false" outlineLevel="0" collapsed="false">
      <c r="A67" s="18" t="n">
        <f aca="false">B67-0.5</f>
        <v>3.75</v>
      </c>
      <c r="B67" s="24" t="n">
        <v>4.25</v>
      </c>
      <c r="C67" s="18" t="n">
        <v>28.2</v>
      </c>
      <c r="D67" s="18" t="n">
        <v>-92.2</v>
      </c>
      <c r="E67" s="18" t="n">
        <v>70</v>
      </c>
      <c r="F67" s="27" t="n">
        <f aca="false">E67*0.5144</f>
        <v>36.008</v>
      </c>
      <c r="G67" s="22" t="e">
        <f aca="false">arclethnm(C66,D66,C67,D67)/6</f>
        <v>#NAME?</v>
      </c>
      <c r="H67" s="22" t="e">
        <f aca="false">G67*0.5144</f>
        <v>#NAME?</v>
      </c>
      <c r="I67" s="0"/>
    </row>
    <row r="68" customFormat="false" ht="12.75" hidden="false" customHeight="false" outlineLevel="0" collapsed="false">
      <c r="A68" s="18" t="n">
        <f aca="false">B68-0.5</f>
        <v>4</v>
      </c>
      <c r="B68" s="24" t="n">
        <v>4.5</v>
      </c>
      <c r="C68" s="18" t="n">
        <v>28.4</v>
      </c>
      <c r="D68" s="18" t="n">
        <v>-92.9</v>
      </c>
      <c r="E68" s="18" t="n">
        <v>70</v>
      </c>
      <c r="F68" s="27" t="n">
        <f aca="false">E68*0.5144</f>
        <v>36.008</v>
      </c>
      <c r="G68" s="22" t="e">
        <f aca="false">arclethnm(C67,D67,C68,D68)/6</f>
        <v>#NAME?</v>
      </c>
      <c r="H68" s="22" t="e">
        <f aca="false">G68*0.5144</f>
        <v>#NAME?</v>
      </c>
      <c r="I68" s="0"/>
    </row>
    <row r="69" customFormat="false" ht="12.75" hidden="false" customHeight="false" outlineLevel="0" collapsed="false">
      <c r="A69" s="18" t="n">
        <f aca="false">B69-0.5</f>
        <v>4.25</v>
      </c>
      <c r="B69" s="24" t="n">
        <v>4.75</v>
      </c>
      <c r="C69" s="18" t="n">
        <v>28.7</v>
      </c>
      <c r="D69" s="18" t="n">
        <v>-93.6</v>
      </c>
      <c r="E69" s="18" t="n">
        <v>70</v>
      </c>
      <c r="F69" s="27" t="n">
        <f aca="false">E69*0.5144</f>
        <v>36.008</v>
      </c>
      <c r="G69" s="22" t="e">
        <f aca="false">arclethnm(C68,D68,C69,D69)/6</f>
        <v>#NAME?</v>
      </c>
      <c r="H69" s="22" t="e">
        <f aca="false">G69*0.5144</f>
        <v>#NAME?</v>
      </c>
      <c r="I69" s="0"/>
    </row>
    <row r="70" customFormat="false" ht="12.75" hidden="false" customHeight="false" outlineLevel="0" collapsed="false">
      <c r="A70" s="18" t="n">
        <f aca="false">B70-0.5</f>
        <v>4.5</v>
      </c>
      <c r="B70" s="24" t="n">
        <v>5</v>
      </c>
      <c r="C70" s="18" t="n">
        <v>29.1</v>
      </c>
      <c r="D70" s="18" t="n">
        <v>-94.2</v>
      </c>
      <c r="E70" s="18" t="n">
        <v>70</v>
      </c>
      <c r="F70" s="27" t="n">
        <f aca="false">E70*0.5144</f>
        <v>36.008</v>
      </c>
      <c r="G70" s="22" t="e">
        <f aca="false">arclethnm(C69,D69,C70,D70)/6</f>
        <v>#NAME?</v>
      </c>
      <c r="H70" s="22" t="e">
        <f aca="false">G70*0.5144</f>
        <v>#NAME?</v>
      </c>
      <c r="I70" s="0"/>
    </row>
    <row r="71" customFormat="false" ht="12.75" hidden="false" customHeight="false" outlineLevel="0" collapsed="false">
      <c r="A71" s="18" t="n">
        <f aca="false">B71-0.5</f>
        <v>4.75</v>
      </c>
      <c r="B71" s="24" t="n">
        <v>5.25</v>
      </c>
      <c r="C71" s="18" t="n">
        <v>29.4</v>
      </c>
      <c r="D71" s="18" t="n">
        <v>-94.7</v>
      </c>
      <c r="E71" s="18" t="n">
        <v>65</v>
      </c>
      <c r="F71" s="27" t="n">
        <f aca="false">E71*0.5144</f>
        <v>33.436</v>
      </c>
      <c r="G71" s="22" t="e">
        <f aca="false">arclethnm(C70,D70,C71,D71)/6</f>
        <v>#NAME?</v>
      </c>
      <c r="H71" s="22" t="e">
        <f aca="false">G71*0.5144</f>
        <v>#NAME?</v>
      </c>
      <c r="I71" s="0"/>
    </row>
    <row r="72" customFormat="false" ht="12.75" hidden="false" customHeight="false" outlineLevel="0" collapsed="false">
      <c r="A72" s="18" t="n">
        <f aca="false">B72-0.5</f>
        <v>5</v>
      </c>
      <c r="B72" s="24" t="n">
        <v>5.5</v>
      </c>
      <c r="C72" s="18" t="n">
        <v>29.8</v>
      </c>
      <c r="D72" s="18" t="n">
        <v>-95.1</v>
      </c>
      <c r="E72" s="18" t="n">
        <v>55</v>
      </c>
      <c r="F72" s="27" t="n">
        <f aca="false">E72*0.5144</f>
        <v>28.292</v>
      </c>
      <c r="G72" s="22" t="e">
        <f aca="false">arclethnm(C71,D71,C72,D72)/6</f>
        <v>#NAME?</v>
      </c>
      <c r="H72" s="22" t="e">
        <f aca="false">G72*0.5144</f>
        <v>#NAME?</v>
      </c>
      <c r="I72" s="0"/>
    </row>
    <row r="73" customFormat="false" ht="12.75" hidden="false" customHeight="false" outlineLevel="0" collapsed="false">
      <c r="A73" s="18" t="n">
        <f aca="false">B73-0.5</f>
        <v>5.04</v>
      </c>
      <c r="B73" s="24" t="n">
        <v>5.54</v>
      </c>
      <c r="C73" s="18" t="n">
        <v>30.5</v>
      </c>
      <c r="D73" s="18" t="n">
        <v>-95.8</v>
      </c>
      <c r="E73" s="18" t="n">
        <v>35</v>
      </c>
      <c r="F73" s="27" t="n">
        <f aca="false">E73*0.5144</f>
        <v>18.004</v>
      </c>
      <c r="G73" s="22" t="e">
        <f aca="false">arclethnm(C72,D72,C73,D73)/6</f>
        <v>#NAME?</v>
      </c>
      <c r="H73" s="22" t="e">
        <f aca="false">G73*0.5144</f>
        <v>#NAME?</v>
      </c>
      <c r="I73" s="0"/>
    </row>
    <row r="74" customFormat="false" ht="12.75" hidden="false" customHeight="false" outlineLevel="0" collapsed="false">
      <c r="A74" s="18" t="n">
        <f aca="false">B74-0.5</f>
        <v>5.25</v>
      </c>
      <c r="B74" s="24" t="n">
        <v>5.75</v>
      </c>
      <c r="C74" s="18" t="n">
        <v>31.5</v>
      </c>
      <c r="D74" s="18" t="n">
        <v>-96.1</v>
      </c>
      <c r="E74" s="18" t="n">
        <v>25</v>
      </c>
      <c r="F74" s="27" t="n">
        <f aca="false">E74*0.5144</f>
        <v>12.86</v>
      </c>
      <c r="G74" s="22" t="e">
        <f aca="false">arclethnm(C73,D73,C74,D74)/6</f>
        <v>#NAME?</v>
      </c>
      <c r="H74" s="22" t="e">
        <f aca="false">G74*0.5144</f>
        <v>#NAME?</v>
      </c>
      <c r="I74" s="0"/>
    </row>
    <row r="75" customFormat="false" ht="12.75" hidden="false" customHeight="false" outlineLevel="0" collapsed="false">
      <c r="A75" s="18" t="n">
        <f aca="false">B75-0.5</f>
        <v>5.5</v>
      </c>
      <c r="B75" s="24" t="n">
        <v>6</v>
      </c>
      <c r="C75" s="18" t="n">
        <v>33</v>
      </c>
      <c r="D75" s="18" t="n">
        <v>-95.8</v>
      </c>
      <c r="E75" s="18" t="n">
        <v>25</v>
      </c>
      <c r="F75" s="27" t="n">
        <f aca="false">E75*0.5144</f>
        <v>12.86</v>
      </c>
      <c r="G75" s="22" t="e">
        <f aca="false">arclethnm(C74,D74,C75,D75)/6</f>
        <v>#NAME?</v>
      </c>
      <c r="H75" s="22" t="e">
        <f aca="false">G75*0.5144</f>
        <v>#NAME?</v>
      </c>
      <c r="I75" s="0"/>
    </row>
    <row r="76" customFormat="false" ht="12.75" hidden="false" customHeight="false" outlineLevel="0" collapsed="false">
      <c r="A76" s="18" t="n">
        <f aca="false">B76-0.5</f>
        <v>5.75</v>
      </c>
      <c r="B76" s="24" t="n">
        <v>6.25</v>
      </c>
      <c r="C76" s="18" t="n">
        <v>34.3</v>
      </c>
      <c r="D76" s="18" t="n">
        <v>-95.2</v>
      </c>
      <c r="E76" s="18" t="n">
        <v>20</v>
      </c>
      <c r="F76" s="27" t="n">
        <f aca="false">E76*0.5144</f>
        <v>10.288</v>
      </c>
      <c r="G76" s="22" t="e">
        <f aca="false">arclethnm(C75,D75,C76,D76)/6</f>
        <v>#NAME?</v>
      </c>
      <c r="H76" s="22" t="e">
        <f aca="false">G76*0.5144</f>
        <v>#NAME?</v>
      </c>
      <c r="I76" s="0"/>
    </row>
    <row r="77" customFormat="false" ht="12.75" hidden="false" customHeight="false" outlineLevel="0" collapsed="false">
      <c r="A77" s="18" t="n">
        <f aca="false">B77-0.5</f>
        <v>6</v>
      </c>
      <c r="B77" s="24" t="n">
        <v>6.5</v>
      </c>
      <c r="C77" s="18" t="n">
        <v>35.7</v>
      </c>
      <c r="D77" s="18" t="n">
        <v>-93.8</v>
      </c>
      <c r="E77" s="18" t="n">
        <v>20</v>
      </c>
      <c r="F77" s="27" t="n">
        <f aca="false">E77*0.5144</f>
        <v>10.288</v>
      </c>
      <c r="G77" s="22" t="e">
        <f aca="false">arclethnm(C76,D76,C77,D77)/6</f>
        <v>#NAME?</v>
      </c>
      <c r="H77" s="22" t="e">
        <f aca="false">G77*0.5144</f>
        <v>#NAME?</v>
      </c>
      <c r="I77" s="0"/>
    </row>
    <row r="78" customFormat="false" ht="12.75" hidden="false" customHeight="false" outlineLevel="0" collapsed="false">
      <c r="A78" s="18" t="n">
        <f aca="false">B78-0.5</f>
        <v>6.25</v>
      </c>
      <c r="B78" s="24" t="n">
        <v>6.75</v>
      </c>
      <c r="C78" s="18" t="n">
        <v>36.8</v>
      </c>
      <c r="D78" s="18" t="n">
        <v>-92.7</v>
      </c>
      <c r="E78" s="18" t="n">
        <v>15</v>
      </c>
      <c r="F78" s="27" t="n">
        <f aca="false">E78*0.5144</f>
        <v>7.716</v>
      </c>
      <c r="G78" s="22" t="e">
        <f aca="false">arclethnm(C77,D77,C78,D78)/6</f>
        <v>#NAME?</v>
      </c>
      <c r="H78" s="22" t="e">
        <f aca="false">G78*0.5144</f>
        <v>#NAME?</v>
      </c>
      <c r="I78" s="0"/>
    </row>
    <row r="79" customFormat="false" ht="12.75" hidden="false" customHeight="false" outlineLevel="0" collapsed="false">
      <c r="A79" s="0"/>
      <c r="B79" s="24"/>
      <c r="C79" s="0"/>
      <c r="D79" s="0"/>
      <c r="E79" s="0"/>
      <c r="F79" s="27"/>
      <c r="G79" s="0"/>
      <c r="H79" s="0"/>
      <c r="I79" s="0"/>
    </row>
    <row r="80" customFormat="false" ht="12.75" hidden="false" customHeight="false" outlineLevel="0" collapsed="false">
      <c r="A80" s="0"/>
      <c r="B80" s="24"/>
      <c r="C80" s="0"/>
      <c r="D80" s="0"/>
      <c r="E80" s="0"/>
      <c r="F80" s="27"/>
      <c r="G80" s="0"/>
      <c r="H80" s="0"/>
      <c r="I80" s="0"/>
    </row>
    <row r="81" customFormat="false" ht="12.75" hidden="false" customHeight="false" outlineLevel="0" collapsed="false">
      <c r="A81" s="0"/>
      <c r="B81" s="24"/>
      <c r="C81" s="0"/>
      <c r="D81" s="0"/>
      <c r="E81" s="0"/>
      <c r="F81" s="27"/>
      <c r="G81" s="0"/>
      <c r="H81" s="0"/>
      <c r="I81" s="0"/>
    </row>
    <row r="82" customFormat="false" ht="12.75" hidden="false" customHeight="false" outlineLevel="0" collapsed="false">
      <c r="A82" s="0"/>
      <c r="B82" s="0"/>
      <c r="C82" s="0"/>
      <c r="D82" s="0"/>
      <c r="E82" s="0"/>
      <c r="F82" s="27"/>
      <c r="G82" s="0"/>
      <c r="H82" s="0"/>
      <c r="I82" s="0"/>
    </row>
    <row r="83" customFormat="false" ht="12.75" hidden="false" customHeight="false" outlineLevel="0" collapsed="false">
      <c r="A83" s="0"/>
      <c r="B83" s="28" t="s">
        <v>142</v>
      </c>
      <c r="C83" s="28" t="s">
        <v>18</v>
      </c>
      <c r="D83" s="0"/>
      <c r="E83" s="0"/>
      <c r="F83" s="27"/>
      <c r="G83" s="0"/>
      <c r="H83" s="0"/>
      <c r="I83" s="28"/>
    </row>
    <row r="84" customFormat="false" ht="12.75" hidden="false" customHeight="false" outlineLevel="0" collapsed="false">
      <c r="A84" s="30" t="n">
        <v>1</v>
      </c>
      <c r="B84" s="30" t="n">
        <v>1.5</v>
      </c>
      <c r="C84" s="18" t="n">
        <v>27.5</v>
      </c>
      <c r="D84" s="18" t="n">
        <v>-62.5</v>
      </c>
      <c r="E84" s="18" t="n">
        <v>65</v>
      </c>
      <c r="F84" s="27" t="n">
        <f aca="false">E84*0.5144</f>
        <v>33.436</v>
      </c>
      <c r="G84" s="0"/>
      <c r="H84" s="0"/>
      <c r="I84" s="0"/>
    </row>
    <row r="85" customFormat="false" ht="12.75" hidden="false" customHeight="false" outlineLevel="0" collapsed="false">
      <c r="A85" s="30" t="n">
        <f aca="false">B85-0.5</f>
        <v>1.25</v>
      </c>
      <c r="B85" s="30" t="n">
        <v>1.75</v>
      </c>
      <c r="C85" s="18" t="n">
        <v>28.6</v>
      </c>
      <c r="D85" s="18" t="n">
        <v>-63</v>
      </c>
      <c r="E85" s="18" t="n">
        <v>65</v>
      </c>
      <c r="F85" s="27" t="n">
        <f aca="false">E85*0.5144</f>
        <v>33.436</v>
      </c>
      <c r="G85" s="22" t="e">
        <f aca="false">arclethnm(C84,D84,C85,D85)/6</f>
        <v>#NAME?</v>
      </c>
      <c r="H85" s="22" t="e">
        <f aca="false">G85*0.5144</f>
        <v>#NAME?</v>
      </c>
      <c r="I85" s="0"/>
    </row>
    <row r="86" customFormat="false" ht="12.75" hidden="false" customHeight="false" outlineLevel="0" collapsed="false">
      <c r="A86" s="30" t="n">
        <f aca="false">B86-0.5</f>
        <v>1.5</v>
      </c>
      <c r="B86" s="30" t="n">
        <v>2</v>
      </c>
      <c r="C86" s="18" t="n">
        <v>30.2</v>
      </c>
      <c r="D86" s="18" t="n">
        <v>-63.5</v>
      </c>
      <c r="E86" s="18" t="n">
        <v>75</v>
      </c>
      <c r="F86" s="27" t="n">
        <f aca="false">E86*0.5144</f>
        <v>38.58</v>
      </c>
      <c r="G86" s="22" t="e">
        <f aca="false">arclethnm(C85,D85,C86,D86)/6</f>
        <v>#NAME?</v>
      </c>
      <c r="H86" s="22" t="e">
        <f aca="false">G86*0.5144</f>
        <v>#NAME?</v>
      </c>
      <c r="I86" s="0"/>
    </row>
    <row r="87" customFormat="false" ht="12.75" hidden="false" customHeight="false" outlineLevel="0" collapsed="false">
      <c r="A87" s="30" t="n">
        <f aca="false">B87-0.5</f>
        <v>1.75</v>
      </c>
      <c r="B87" s="30" t="n">
        <v>2.25</v>
      </c>
      <c r="C87" s="18" t="n">
        <v>31.4</v>
      </c>
      <c r="D87" s="18" t="n">
        <v>-63.5</v>
      </c>
      <c r="E87" s="18" t="n">
        <v>90</v>
      </c>
      <c r="F87" s="27" t="n">
        <f aca="false">E87*0.5144</f>
        <v>46.296</v>
      </c>
      <c r="G87" s="22" t="e">
        <f aca="false">arclethnm(C86,D86,C87,D87)/6</f>
        <v>#NAME?</v>
      </c>
      <c r="H87" s="22" t="e">
        <f aca="false">G87*0.5144</f>
        <v>#NAME?</v>
      </c>
      <c r="I87" s="0"/>
    </row>
    <row r="88" customFormat="false" ht="12.75" hidden="false" customHeight="false" outlineLevel="0" collapsed="false">
      <c r="A88" s="30" t="n">
        <f aca="false">B88-0.5</f>
        <v>2</v>
      </c>
      <c r="B88" s="30" t="n">
        <v>2.5</v>
      </c>
      <c r="C88" s="18" t="n">
        <v>32.3</v>
      </c>
      <c r="D88" s="18" t="n">
        <v>-63.1</v>
      </c>
      <c r="E88" s="18" t="n">
        <v>95</v>
      </c>
      <c r="F88" s="27" t="n">
        <f aca="false">E88*0.5144</f>
        <v>48.868</v>
      </c>
      <c r="G88" s="22" t="e">
        <f aca="false">arclethnm(C87,D87,C88,D88)/6</f>
        <v>#NAME?</v>
      </c>
      <c r="H88" s="22" t="e">
        <f aca="false">G88*0.5144</f>
        <v>#NAME?</v>
      </c>
      <c r="I88" s="0"/>
    </row>
    <row r="89" customFormat="false" ht="12.75" hidden="false" customHeight="false" outlineLevel="0" collapsed="false">
      <c r="A89" s="30" t="n">
        <f aca="false">B89-0.5</f>
        <v>2.25</v>
      </c>
      <c r="B89" s="30" t="n">
        <v>2.75</v>
      </c>
      <c r="C89" s="18" t="n">
        <v>33.2</v>
      </c>
      <c r="D89" s="18" t="n">
        <v>-62.2</v>
      </c>
      <c r="E89" s="18" t="n">
        <v>95</v>
      </c>
      <c r="F89" s="27" t="n">
        <f aca="false">E89*0.5144</f>
        <v>48.868</v>
      </c>
      <c r="G89" s="22" t="e">
        <f aca="false">arclethnm(C88,D88,C89,D89)/6</f>
        <v>#NAME?</v>
      </c>
      <c r="H89" s="22" t="e">
        <f aca="false">G89*0.5144</f>
        <v>#NAME?</v>
      </c>
      <c r="I89" s="0"/>
    </row>
    <row r="90" customFormat="false" ht="12.75" hidden="false" customHeight="false" outlineLevel="0" collapsed="false">
      <c r="A90" s="30" t="n">
        <f aca="false">B90-0.5</f>
        <v>2.5</v>
      </c>
      <c r="B90" s="30" t="n">
        <v>3</v>
      </c>
      <c r="C90" s="18" t="n">
        <v>34.2</v>
      </c>
      <c r="D90" s="18" t="n">
        <v>-60.4</v>
      </c>
      <c r="E90" s="18" t="n">
        <v>95</v>
      </c>
      <c r="F90" s="27" t="n">
        <f aca="false">E90*0.5144</f>
        <v>48.868</v>
      </c>
      <c r="G90" s="22" t="e">
        <f aca="false">arclethnm(C89,D89,C90,D90)/6</f>
        <v>#NAME?</v>
      </c>
      <c r="H90" s="22" t="e">
        <f aca="false">G90*0.5144</f>
        <v>#NAME?</v>
      </c>
      <c r="I90" s="0"/>
    </row>
    <row r="91" customFormat="false" ht="12.75" hidden="false" customHeight="false" outlineLevel="0" collapsed="false">
      <c r="A91" s="30" t="n">
        <f aca="false">B91-0.5</f>
        <v>2.75</v>
      </c>
      <c r="B91" s="30" t="n">
        <v>3.25</v>
      </c>
      <c r="C91" s="18" t="n">
        <v>35.1</v>
      </c>
      <c r="D91" s="18" t="n">
        <v>-58.7</v>
      </c>
      <c r="E91" s="18" t="n">
        <v>90</v>
      </c>
      <c r="F91" s="27" t="n">
        <f aca="false">E91*0.5144</f>
        <v>46.296</v>
      </c>
      <c r="G91" s="22" t="e">
        <f aca="false">arclethnm(C90,D90,C91,D91)/6</f>
        <v>#NAME?</v>
      </c>
      <c r="H91" s="22" t="e">
        <f aca="false">G91*0.5144</f>
        <v>#NAME?</v>
      </c>
      <c r="I91" s="0"/>
    </row>
    <row r="92" customFormat="false" ht="12.75" hidden="false" customHeight="false" outlineLevel="0" collapsed="false">
      <c r="A92" s="30" t="n">
        <f aca="false">B92-0.5</f>
        <v>3</v>
      </c>
      <c r="B92" s="30" t="n">
        <v>3.5</v>
      </c>
      <c r="C92" s="18" t="n">
        <v>35.6</v>
      </c>
      <c r="D92" s="18" t="n">
        <v>-57.8</v>
      </c>
      <c r="E92" s="18" t="n">
        <v>90</v>
      </c>
      <c r="F92" s="27" t="n">
        <f aca="false">E92*0.5144</f>
        <v>46.296</v>
      </c>
      <c r="G92" s="22" t="e">
        <f aca="false">arclethnm(C91,D91,C92,D92)/6</f>
        <v>#NAME?</v>
      </c>
      <c r="H92" s="22" t="e">
        <f aca="false">G92*0.5144</f>
        <v>#NAME?</v>
      </c>
      <c r="I92" s="0"/>
    </row>
    <row r="93" customFormat="false" ht="12.75" hidden="false" customHeight="false" outlineLevel="0" collapsed="false">
      <c r="A93" s="30" t="n">
        <f aca="false">B93-0.5</f>
        <v>3.25</v>
      </c>
      <c r="B93" s="30" t="n">
        <v>3.75</v>
      </c>
      <c r="C93" s="18" t="n">
        <v>35.9</v>
      </c>
      <c r="D93" s="18" t="n">
        <v>-57.2</v>
      </c>
      <c r="E93" s="18" t="n">
        <v>85</v>
      </c>
      <c r="F93" s="27" t="n">
        <f aca="false">E93*0.5144</f>
        <v>43.724</v>
      </c>
      <c r="G93" s="22" t="e">
        <f aca="false">arclethnm(C92,D92,C93,D93)/6</f>
        <v>#NAME?</v>
      </c>
      <c r="H93" s="22" t="e">
        <f aca="false">G93*0.5144</f>
        <v>#NAME?</v>
      </c>
      <c r="I93" s="0"/>
    </row>
    <row r="94" customFormat="false" ht="12.75" hidden="false" customHeight="false" outlineLevel="0" collapsed="false">
      <c r="A94" s="30" t="n">
        <f aca="false">B94-0.5</f>
        <v>3.5</v>
      </c>
      <c r="B94" s="30" t="n">
        <v>4</v>
      </c>
      <c r="C94" s="18" t="n">
        <v>36.3</v>
      </c>
      <c r="D94" s="18" t="n">
        <v>-56.7</v>
      </c>
      <c r="E94" s="18" t="n">
        <v>85</v>
      </c>
      <c r="F94" s="27" t="n">
        <f aca="false">E94*0.5144</f>
        <v>43.724</v>
      </c>
      <c r="G94" s="22" t="e">
        <f aca="false">arclethnm(C93,D93,C94,D94)/6</f>
        <v>#NAME?</v>
      </c>
      <c r="H94" s="22" t="e">
        <f aca="false">G94*0.5144</f>
        <v>#NAME?</v>
      </c>
      <c r="I94" s="0"/>
    </row>
    <row r="95" customFormat="false" ht="12.75" hidden="false" customHeight="false" outlineLevel="0" collapsed="false">
      <c r="A95" s="30" t="n">
        <f aca="false">B95-0.5</f>
        <v>3.75</v>
      </c>
      <c r="B95" s="30" t="n">
        <v>4.25</v>
      </c>
      <c r="C95" s="18" t="n">
        <v>36.8</v>
      </c>
      <c r="D95" s="18" t="n">
        <v>-56.2</v>
      </c>
      <c r="E95" s="18" t="n">
        <v>80</v>
      </c>
      <c r="F95" s="27" t="n">
        <f aca="false">E95*0.5144</f>
        <v>41.152</v>
      </c>
      <c r="G95" s="22" t="e">
        <f aca="false">arclethnm(C94,D94,C95,D95)/6</f>
        <v>#NAME?</v>
      </c>
      <c r="H95" s="22" t="e">
        <f aca="false">G95*0.5144</f>
        <v>#NAME?</v>
      </c>
      <c r="I95" s="0"/>
    </row>
    <row r="96" customFormat="false" ht="12.75" hidden="false" customHeight="false" outlineLevel="0" collapsed="false">
      <c r="A96" s="30" t="n">
        <f aca="false">B96-0.5</f>
        <v>4</v>
      </c>
      <c r="B96" s="30" t="n">
        <v>4.5</v>
      </c>
      <c r="C96" s="18" t="n">
        <v>37.3</v>
      </c>
      <c r="D96" s="18" t="n">
        <v>-55.7</v>
      </c>
      <c r="E96" s="18" t="n">
        <v>80</v>
      </c>
      <c r="F96" s="27" t="n">
        <f aca="false">E96*0.5144</f>
        <v>41.152</v>
      </c>
      <c r="G96" s="22" t="e">
        <f aca="false">arclethnm(C95,D95,C96,D96)/6</f>
        <v>#NAME?</v>
      </c>
      <c r="H96" s="22" t="e">
        <f aca="false">G96*0.5144</f>
        <v>#NAME?</v>
      </c>
      <c r="I96" s="0"/>
    </row>
    <row r="97" customFormat="false" ht="12.75" hidden="false" customHeight="false" outlineLevel="0" collapsed="false">
      <c r="A97" s="30" t="n">
        <f aca="false">B97-0.5</f>
        <v>4.25</v>
      </c>
      <c r="B97" s="30" t="n">
        <v>4.75</v>
      </c>
      <c r="C97" s="18" t="n">
        <v>37.7</v>
      </c>
      <c r="D97" s="18" t="n">
        <v>-55.2</v>
      </c>
      <c r="E97" s="18" t="n">
        <v>75</v>
      </c>
      <c r="F97" s="27" t="n">
        <f aca="false">E97*0.5144</f>
        <v>38.58</v>
      </c>
      <c r="G97" s="22" t="e">
        <f aca="false">arclethnm(C96,D96,C97,D97)/6</f>
        <v>#NAME?</v>
      </c>
      <c r="H97" s="22" t="e">
        <f aca="false">G97*0.5144</f>
        <v>#NAME?</v>
      </c>
      <c r="I97" s="0"/>
    </row>
    <row r="98" customFormat="false" ht="12.75" hidden="false" customHeight="false" outlineLevel="0" collapsed="false">
      <c r="A98" s="30" t="n">
        <f aca="false">B98-0.5</f>
        <v>4.5</v>
      </c>
      <c r="B98" s="30" t="n">
        <v>5</v>
      </c>
      <c r="C98" s="18" t="n">
        <v>38.2</v>
      </c>
      <c r="D98" s="18" t="n">
        <v>-54.6</v>
      </c>
      <c r="E98" s="18" t="n">
        <v>75</v>
      </c>
      <c r="F98" s="27" t="n">
        <f aca="false">E98*0.5144</f>
        <v>38.58</v>
      </c>
      <c r="G98" s="22" t="e">
        <f aca="false">arclethnm(C97,D97,C98,D98)/6</f>
        <v>#NAME?</v>
      </c>
      <c r="H98" s="22" t="e">
        <f aca="false">G98*0.5144</f>
        <v>#NAME?</v>
      </c>
      <c r="I98" s="0"/>
    </row>
    <row r="99" customFormat="false" ht="12.75" hidden="false" customHeight="false" outlineLevel="0" collapsed="false">
      <c r="A99" s="30" t="n">
        <f aca="false">B99-0.5</f>
        <v>4.75</v>
      </c>
      <c r="B99" s="30" t="n">
        <v>5.25</v>
      </c>
      <c r="C99" s="18" t="n">
        <v>38.8</v>
      </c>
      <c r="D99" s="18" t="n">
        <v>-53.9</v>
      </c>
      <c r="E99" s="18" t="n">
        <v>70</v>
      </c>
      <c r="F99" s="27" t="n">
        <f aca="false">E99*0.5144</f>
        <v>36.008</v>
      </c>
      <c r="G99" s="22" t="e">
        <f aca="false">arclethnm(C98,D98,C99,D99)/6</f>
        <v>#NAME?</v>
      </c>
      <c r="H99" s="22" t="e">
        <f aca="false">G99*0.5144</f>
        <v>#NAME?</v>
      </c>
      <c r="I99" s="0"/>
    </row>
    <row r="100" customFormat="false" ht="12.75" hidden="false" customHeight="false" outlineLevel="0" collapsed="false">
      <c r="A100" s="30" t="n">
        <f aca="false">B100-0.5</f>
        <v>5</v>
      </c>
      <c r="B100" s="30" t="n">
        <v>5.5</v>
      </c>
      <c r="C100" s="18" t="n">
        <v>39.1</v>
      </c>
      <c r="D100" s="18" t="n">
        <v>-52.9</v>
      </c>
      <c r="E100" s="18" t="n">
        <v>70</v>
      </c>
      <c r="F100" s="27" t="n">
        <f aca="false">E100*0.5144</f>
        <v>36.008</v>
      </c>
      <c r="G100" s="22" t="e">
        <f aca="false">arclethnm(C99,D99,C100,D100)/6</f>
        <v>#NAME?</v>
      </c>
      <c r="H100" s="22" t="e">
        <f aca="false">G100*0.5144</f>
        <v>#NAME?</v>
      </c>
      <c r="I100" s="0"/>
    </row>
    <row r="101" customFormat="false" ht="12.75" hidden="false" customHeight="false" outlineLevel="0" collapsed="false">
      <c r="A101" s="30" t="n">
        <f aca="false">B101-0.5</f>
        <v>5.25</v>
      </c>
      <c r="B101" s="30" t="n">
        <v>5.75</v>
      </c>
      <c r="C101" s="18" t="n">
        <v>39.2</v>
      </c>
      <c r="D101" s="18" t="n">
        <v>-51.9</v>
      </c>
      <c r="E101" s="18" t="n">
        <v>65</v>
      </c>
      <c r="F101" s="27" t="n">
        <f aca="false">E101*0.5144</f>
        <v>33.436</v>
      </c>
      <c r="G101" s="22" t="e">
        <f aca="false">arclethnm(C100,D100,C101,D101)/6</f>
        <v>#NAME?</v>
      </c>
      <c r="H101" s="22" t="e">
        <f aca="false">G101*0.5144</f>
        <v>#NAME?</v>
      </c>
      <c r="I101" s="0"/>
    </row>
    <row r="102" customFormat="false" ht="12.75" hidden="false" customHeight="false" outlineLevel="0" collapsed="false">
      <c r="A102" s="30" t="n">
        <f aca="false">B102-0.5</f>
        <v>5.5</v>
      </c>
      <c r="B102" s="30" t="n">
        <v>6</v>
      </c>
      <c r="C102" s="18" t="n">
        <v>39.1</v>
      </c>
      <c r="D102" s="18" t="n">
        <v>-51.3</v>
      </c>
      <c r="E102" s="18" t="n">
        <v>60</v>
      </c>
      <c r="F102" s="27" t="n">
        <f aca="false">E102*0.5144</f>
        <v>30.864</v>
      </c>
      <c r="G102" s="22" t="e">
        <f aca="false">arclethnm(C101,D101,C102,D102)/6</f>
        <v>#NAME?</v>
      </c>
      <c r="H102" s="22" t="e">
        <f aca="false">G102*0.5144</f>
        <v>#NAME?</v>
      </c>
      <c r="I102" s="0"/>
    </row>
    <row r="103" customFormat="false" ht="12.75" hidden="false" customHeight="false" outlineLevel="0" collapsed="false">
      <c r="A103" s="30" t="n">
        <f aca="false">B103-0.5</f>
        <v>5.75</v>
      </c>
      <c r="B103" s="30" t="n">
        <v>6.25</v>
      </c>
      <c r="C103" s="18" t="n">
        <v>38.9</v>
      </c>
      <c r="D103" s="18" t="n">
        <v>-50.9</v>
      </c>
      <c r="E103" s="18" t="n">
        <v>55</v>
      </c>
      <c r="F103" s="27" t="n">
        <f aca="false">E103*0.5144</f>
        <v>28.292</v>
      </c>
      <c r="G103" s="22" t="e">
        <f aca="false">arclethnm(C102,D102,C103,D103)/6</f>
        <v>#NAME?</v>
      </c>
      <c r="H103" s="22" t="e">
        <f aca="false">G103*0.5144</f>
        <v>#NAME?</v>
      </c>
      <c r="I103" s="0"/>
    </row>
    <row r="104" customFormat="false" ht="12.75" hidden="false" customHeight="false" outlineLevel="0" collapsed="false">
      <c r="A104" s="30" t="n">
        <f aca="false">B104-0.5</f>
        <v>6</v>
      </c>
      <c r="B104" s="30" t="n">
        <v>6.5</v>
      </c>
      <c r="C104" s="18" t="n">
        <v>38.5</v>
      </c>
      <c r="D104" s="18" t="n">
        <v>-50.7</v>
      </c>
      <c r="E104" s="18" t="n">
        <v>55</v>
      </c>
      <c r="F104" s="27" t="n">
        <f aca="false">E104*0.5144</f>
        <v>28.292</v>
      </c>
      <c r="G104" s="22" t="e">
        <f aca="false">arclethnm(C103,D103,C104,D104)/6</f>
        <v>#NAME?</v>
      </c>
      <c r="H104" s="22" t="e">
        <f aca="false">G104*0.5144</f>
        <v>#NAME?</v>
      </c>
      <c r="I104" s="0"/>
    </row>
    <row r="105" customFormat="false" ht="12.75" hidden="false" customHeight="false" outlineLevel="0" collapsed="false">
      <c r="A105" s="30" t="n">
        <f aca="false">B105-0.5</f>
        <v>6.25</v>
      </c>
      <c r="B105" s="30" t="n">
        <v>6.75</v>
      </c>
      <c r="C105" s="18" t="n">
        <v>38.1</v>
      </c>
      <c r="D105" s="18" t="n">
        <v>-50.6</v>
      </c>
      <c r="E105" s="18" t="n">
        <v>50</v>
      </c>
      <c r="F105" s="27" t="n">
        <f aca="false">E105*0.5144</f>
        <v>25.72</v>
      </c>
      <c r="G105" s="22" t="e">
        <f aca="false">arclethnm(C104,D104,C105,D105)/6</f>
        <v>#NAME?</v>
      </c>
      <c r="H105" s="22" t="e">
        <f aca="false">G105*0.5144</f>
        <v>#NAME?</v>
      </c>
      <c r="I105" s="0"/>
    </row>
    <row r="106" customFormat="false" ht="12.75" hidden="false" customHeight="false" outlineLevel="0" collapsed="false">
      <c r="A106" s="30" t="n">
        <f aca="false">B106-0.5</f>
        <v>6.5</v>
      </c>
      <c r="B106" s="30" t="n">
        <v>7</v>
      </c>
      <c r="C106" s="18" t="n">
        <v>37.7</v>
      </c>
      <c r="D106" s="18" t="n">
        <v>-50.7</v>
      </c>
      <c r="E106" s="18" t="n">
        <v>45</v>
      </c>
      <c r="F106" s="27" t="n">
        <f aca="false">E106*0.5144</f>
        <v>23.148</v>
      </c>
      <c r="G106" s="22" t="e">
        <f aca="false">arclethnm(C105,D105,C106,D106)/6</f>
        <v>#NAME?</v>
      </c>
      <c r="H106" s="22" t="e">
        <f aca="false">G106*0.5144</f>
        <v>#NAME?</v>
      </c>
      <c r="I106" s="0"/>
    </row>
    <row r="107" customFormat="false" ht="12.75" hidden="false" customHeight="false" outlineLevel="0" collapsed="false">
      <c r="A107" s="30" t="n">
        <f aca="false">B107-0.5</f>
        <v>6.75</v>
      </c>
      <c r="B107" s="30" t="n">
        <v>7.25</v>
      </c>
      <c r="C107" s="18" t="n">
        <v>37.3</v>
      </c>
      <c r="D107" s="18" t="n">
        <v>-51</v>
      </c>
      <c r="E107" s="18" t="n">
        <v>45</v>
      </c>
      <c r="F107" s="27" t="n">
        <f aca="false">E107*0.5144</f>
        <v>23.148</v>
      </c>
      <c r="G107" s="22" t="e">
        <f aca="false">arclethnm(C106,D106,C107,D107)/6</f>
        <v>#NAME?</v>
      </c>
      <c r="H107" s="22" t="e">
        <f aca="false">G107*0.5144</f>
        <v>#NAME?</v>
      </c>
      <c r="I107" s="0"/>
    </row>
    <row r="108" customFormat="false" ht="12.75" hidden="false" customHeight="false" outlineLevel="0" collapsed="false">
      <c r="A108" s="30" t="n">
        <f aca="false">B108-0.5</f>
        <v>7</v>
      </c>
      <c r="B108" s="30" t="n">
        <v>7.5</v>
      </c>
      <c r="C108" s="18" t="n">
        <v>37</v>
      </c>
      <c r="D108" s="18" t="n">
        <v>-51.4</v>
      </c>
      <c r="E108" s="18" t="n">
        <v>45</v>
      </c>
      <c r="F108" s="27" t="n">
        <f aca="false">E108*0.5144</f>
        <v>23.148</v>
      </c>
      <c r="G108" s="22" t="e">
        <f aca="false">arclethnm(C107,D107,C108,D108)/6</f>
        <v>#NAME?</v>
      </c>
      <c r="H108" s="22" t="e">
        <f aca="false">G108*0.5144</f>
        <v>#NAME?</v>
      </c>
      <c r="I108" s="0"/>
    </row>
    <row r="109" customFormat="false" ht="12.75" hidden="false" customHeight="false" outlineLevel="0" collapsed="false">
      <c r="A109" s="30" t="n">
        <f aca="false">B109-0.5</f>
        <v>7.25</v>
      </c>
      <c r="B109" s="30" t="n">
        <v>7.75</v>
      </c>
      <c r="C109" s="18" t="n">
        <v>36.7</v>
      </c>
      <c r="D109" s="18" t="n">
        <v>-51.9</v>
      </c>
      <c r="E109" s="18" t="n">
        <v>45</v>
      </c>
      <c r="F109" s="27" t="n">
        <f aca="false">E109*0.5144</f>
        <v>23.148</v>
      </c>
      <c r="G109" s="22" t="e">
        <f aca="false">arclethnm(C108,D108,C109,D109)/6</f>
        <v>#NAME?</v>
      </c>
      <c r="H109" s="22" t="e">
        <f aca="false">G109*0.5144</f>
        <v>#NAME?</v>
      </c>
      <c r="I109" s="0"/>
    </row>
    <row r="110" customFormat="false" ht="12.75" hidden="false" customHeight="false" outlineLevel="0" collapsed="false">
      <c r="A110" s="30" t="n">
        <f aca="false">B110-0.5</f>
        <v>7.5</v>
      </c>
      <c r="B110" s="30" t="n">
        <v>8</v>
      </c>
      <c r="C110" s="18" t="n">
        <v>36.5</v>
      </c>
      <c r="D110" s="18" t="n">
        <v>-52.2</v>
      </c>
      <c r="E110" s="18" t="n">
        <v>45</v>
      </c>
      <c r="F110" s="27" t="n">
        <f aca="false">E110*0.5144</f>
        <v>23.148</v>
      </c>
      <c r="G110" s="22" t="e">
        <f aca="false">arclethnm(C109,D109,C110,D110)/6</f>
        <v>#NAME?</v>
      </c>
      <c r="H110" s="22" t="e">
        <f aca="false">G110*0.5144</f>
        <v>#NAME?</v>
      </c>
      <c r="I110" s="0"/>
    </row>
    <row r="111" customFormat="false" ht="12.75" hidden="false" customHeight="false" outlineLevel="0" collapsed="false">
      <c r="A111" s="30" t="n">
        <f aca="false">B111-0.5</f>
        <v>7.75</v>
      </c>
      <c r="B111" s="30" t="n">
        <v>8.25</v>
      </c>
      <c r="C111" s="18" t="n">
        <v>36.4</v>
      </c>
      <c r="D111" s="18" t="n">
        <v>-52.5</v>
      </c>
      <c r="E111" s="18" t="n">
        <v>40</v>
      </c>
      <c r="F111" s="27" t="n">
        <f aca="false">E111*0.5144</f>
        <v>20.576</v>
      </c>
      <c r="G111" s="22" t="e">
        <f aca="false">arclethnm(C110,D110,C111,D111)/6</f>
        <v>#NAME?</v>
      </c>
      <c r="H111" s="22" t="e">
        <f aca="false">G111*0.5144</f>
        <v>#NAME?</v>
      </c>
      <c r="I111" s="0"/>
    </row>
    <row r="112" customFormat="false" ht="12.75" hidden="false" customHeight="false" outlineLevel="0" collapsed="false">
      <c r="A112" s="30" t="n">
        <f aca="false">B112-0.5</f>
        <v>7.875</v>
      </c>
      <c r="B112" s="30" t="n">
        <v>8.375</v>
      </c>
      <c r="C112" s="18" t="n">
        <v>36.2</v>
      </c>
      <c r="D112" s="18" t="n">
        <v>-53</v>
      </c>
      <c r="E112" s="18" t="n">
        <v>40</v>
      </c>
      <c r="F112" s="27" t="n">
        <f aca="false">E112*0.5144</f>
        <v>20.576</v>
      </c>
      <c r="G112" s="22" t="e">
        <f aca="false">arclethnm(C111,D111,C112,D112)/6</f>
        <v>#NAME?</v>
      </c>
      <c r="H112" s="22" t="e">
        <f aca="false">G112*0.5144</f>
        <v>#NAME?</v>
      </c>
      <c r="I112" s="0"/>
    </row>
    <row r="113" customFormat="false" ht="12.75" hidden="false" customHeight="false" outlineLevel="0" collapsed="false">
      <c r="A113" s="30" t="n">
        <f aca="false">B113-0.5</f>
        <v>8</v>
      </c>
      <c r="B113" s="30" t="n">
        <v>8.5</v>
      </c>
      <c r="C113" s="18" t="n">
        <v>36</v>
      </c>
      <c r="D113" s="18" t="n">
        <v>-53.7</v>
      </c>
      <c r="E113" s="18" t="n">
        <v>35</v>
      </c>
      <c r="F113" s="27" t="n">
        <f aca="false">E113*0.5144</f>
        <v>18.004</v>
      </c>
      <c r="G113" s="22" t="e">
        <f aca="false">arclethnm(C112,D112,C113,D113)/6</f>
        <v>#NAME?</v>
      </c>
      <c r="H113" s="22" t="e">
        <f aca="false">G113*0.5144</f>
        <v>#NAME?</v>
      </c>
      <c r="I113" s="0"/>
    </row>
    <row r="114" customFormat="false" ht="12.75" hidden="false" customHeight="false" outlineLevel="0" collapsed="false">
      <c r="A114" s="30" t="n">
        <f aca="false">B114-0.5</f>
        <v>8.25</v>
      </c>
      <c r="B114" s="30" t="n">
        <v>8.75</v>
      </c>
      <c r="C114" s="18" t="n">
        <v>35.7</v>
      </c>
      <c r="D114" s="18" t="n">
        <v>-54.5</v>
      </c>
      <c r="E114" s="18" t="n">
        <v>35</v>
      </c>
      <c r="F114" s="27" t="n">
        <f aca="false">E114*0.5144</f>
        <v>18.004</v>
      </c>
      <c r="G114" s="22" t="e">
        <f aca="false">arclethnm(C113,D113,C114,D114)/6</f>
        <v>#NAME?</v>
      </c>
      <c r="H114" s="22" t="e">
        <f aca="false">G114*0.5144</f>
        <v>#NAME?</v>
      </c>
      <c r="I114" s="0"/>
    </row>
    <row r="115" customFormat="false" ht="12.75" hidden="false" customHeight="false" outlineLevel="0" collapsed="false">
      <c r="A115" s="30" t="n">
        <f aca="false">B115-0.5</f>
        <v>8.5</v>
      </c>
      <c r="B115" s="30" t="n">
        <v>9</v>
      </c>
      <c r="C115" s="18" t="n">
        <v>35.5</v>
      </c>
      <c r="D115" s="18" t="n">
        <v>-55.5</v>
      </c>
      <c r="E115" s="18" t="n">
        <v>30</v>
      </c>
      <c r="F115" s="27" t="n">
        <f aca="false">E115*0.5144</f>
        <v>15.432</v>
      </c>
      <c r="G115" s="22" t="e">
        <f aca="false">arclethnm(C114,D114,C115,D115)/6</f>
        <v>#NAME?</v>
      </c>
      <c r="H115" s="22" t="e">
        <f aca="false">G115*0.5144</f>
        <v>#NAME?</v>
      </c>
      <c r="I115" s="0"/>
    </row>
    <row r="116" customFormat="false" ht="12.75" hidden="false" customHeight="false" outlineLevel="0" collapsed="false">
      <c r="A116" s="30" t="n">
        <f aca="false">B116-0.5</f>
        <v>8.75</v>
      </c>
      <c r="B116" s="30" t="n">
        <v>9.25</v>
      </c>
      <c r="C116" s="18" t="n">
        <v>35.3</v>
      </c>
      <c r="D116" s="18" t="n">
        <v>-56.7</v>
      </c>
      <c r="E116" s="18" t="n">
        <v>30</v>
      </c>
      <c r="F116" s="27" t="n">
        <f aca="false">E116*0.5144</f>
        <v>15.432</v>
      </c>
      <c r="G116" s="22" t="e">
        <f aca="false">arclethnm(C115,D115,C116,D116)/6</f>
        <v>#NAME?</v>
      </c>
      <c r="H116" s="22" t="e">
        <f aca="false">G116*0.5144</f>
        <v>#NAME?</v>
      </c>
      <c r="I116" s="0"/>
    </row>
    <row r="117" customFormat="false" ht="12.75" hidden="false" customHeight="false" outlineLevel="0" collapsed="false">
      <c r="A117" s="30" t="n">
        <f aca="false">B117-0.5</f>
        <v>9</v>
      </c>
      <c r="B117" s="30" t="n">
        <v>9.5</v>
      </c>
      <c r="C117" s="18" t="n">
        <v>35.2</v>
      </c>
      <c r="D117" s="18" t="n">
        <v>-57.9</v>
      </c>
      <c r="E117" s="18" t="n">
        <v>25</v>
      </c>
      <c r="F117" s="27" t="n">
        <f aca="false">E117*0.5144</f>
        <v>12.86</v>
      </c>
      <c r="G117" s="22" t="e">
        <f aca="false">arclethnm(C116,D116,C117,D117)/6</f>
        <v>#NAME?</v>
      </c>
      <c r="H117" s="22" t="e">
        <f aca="false">G117*0.5144</f>
        <v>#NAME?</v>
      </c>
      <c r="I117" s="0"/>
    </row>
    <row r="118" customFormat="false" ht="12.75" hidden="false" customHeight="false" outlineLevel="0" collapsed="false">
      <c r="A118" s="30" t="n">
        <f aca="false">B118-0.5</f>
        <v>9.25</v>
      </c>
      <c r="B118" s="30" t="n">
        <v>9.75</v>
      </c>
      <c r="C118" s="18" t="n">
        <v>35.2</v>
      </c>
      <c r="D118" s="18" t="n">
        <v>-59.5</v>
      </c>
      <c r="E118" s="18" t="n">
        <v>25</v>
      </c>
      <c r="F118" s="27" t="n">
        <f aca="false">E118*0.5144</f>
        <v>12.86</v>
      </c>
      <c r="G118" s="22" t="e">
        <f aca="false">arclethnm(C117,D117,C118,D118)/6</f>
        <v>#NAME?</v>
      </c>
      <c r="H118" s="22" t="e">
        <f aca="false">G118*0.5144</f>
        <v>#NAME?</v>
      </c>
      <c r="I118" s="0"/>
    </row>
    <row r="119" customFormat="false" ht="12.75" hidden="false" customHeight="false" outlineLevel="0" collapsed="false">
      <c r="A119" s="30"/>
      <c r="B119" s="30"/>
      <c r="C119" s="0"/>
      <c r="D119" s="0"/>
      <c r="E119" s="0"/>
      <c r="F119" s="27"/>
      <c r="G119" s="0"/>
      <c r="H119" s="0"/>
      <c r="I119" s="24"/>
    </row>
    <row r="120" customFormat="false" ht="12.75" hidden="false" customHeight="false" outlineLevel="0" collapsed="false">
      <c r="A120" s="30"/>
      <c r="B120" s="30"/>
      <c r="C120" s="0"/>
      <c r="D120" s="0"/>
      <c r="E120" s="0"/>
      <c r="F120" s="27"/>
      <c r="G120" s="0"/>
      <c r="H120" s="0"/>
      <c r="I120" s="24"/>
    </row>
    <row r="121" customFormat="false" ht="12.75" hidden="false" customHeight="false" outlineLevel="0" collapsed="false">
      <c r="A121" s="30"/>
      <c r="B121" s="30"/>
      <c r="C121" s="0"/>
      <c r="D121" s="0"/>
      <c r="E121" s="0"/>
      <c r="F121" s="27"/>
      <c r="G121" s="0"/>
      <c r="H121" s="0"/>
      <c r="I121" s="24"/>
    </row>
    <row r="122" customFormat="false" ht="12.75" hidden="false" customHeight="false" outlineLevel="0" collapsed="false">
      <c r="A122" s="30"/>
      <c r="B122" s="30"/>
      <c r="C122" s="0"/>
      <c r="D122" s="0"/>
      <c r="E122" s="0"/>
      <c r="F122" s="27"/>
      <c r="G122" s="0"/>
      <c r="H122" s="0"/>
      <c r="I122" s="28"/>
    </row>
    <row r="123" customFormat="false" ht="12.75" hidden="false" customHeight="false" outlineLevel="0" collapsed="false">
      <c r="A123" s="30"/>
      <c r="B123" s="30"/>
      <c r="C123" s="0"/>
      <c r="D123" s="0"/>
      <c r="E123" s="0"/>
      <c r="F123" s="27"/>
      <c r="G123" s="0"/>
      <c r="H123" s="0"/>
      <c r="I123" s="24"/>
    </row>
    <row r="124" customFormat="false" ht="12.75" hidden="false" customHeight="false" outlineLevel="0" collapsed="false">
      <c r="A124" s="30"/>
      <c r="B124" s="30"/>
      <c r="C124" s="0"/>
      <c r="D124" s="0"/>
      <c r="E124" s="0"/>
      <c r="F124" s="27"/>
      <c r="G124" s="0"/>
      <c r="H124" s="0"/>
      <c r="I124" s="24"/>
    </row>
    <row r="125" customFormat="false" ht="12.75" hidden="false" customHeight="false" outlineLevel="0" collapsed="false">
      <c r="A125" s="30"/>
      <c r="B125" s="30"/>
      <c r="C125" s="0"/>
      <c r="D125" s="0"/>
      <c r="E125" s="0"/>
      <c r="F125" s="27"/>
      <c r="G125" s="0"/>
      <c r="H125" s="0"/>
      <c r="I125" s="24"/>
    </row>
    <row r="126" customFormat="false" ht="12.75" hidden="false" customHeight="false" outlineLevel="0" collapsed="false">
      <c r="A126" s="30"/>
      <c r="B126" s="30"/>
      <c r="C126" s="0"/>
      <c r="D126" s="0"/>
      <c r="E126" s="0"/>
      <c r="F126" s="27"/>
      <c r="G126" s="0"/>
      <c r="H126" s="0"/>
      <c r="I126" s="24"/>
    </row>
    <row r="127" customFormat="false" ht="12.75" hidden="false" customHeight="false" outlineLevel="0" collapsed="false">
      <c r="A127" s="30"/>
      <c r="B127" s="30"/>
      <c r="C127" s="0"/>
      <c r="D127" s="0"/>
      <c r="E127" s="0"/>
      <c r="F127" s="27"/>
      <c r="G127" s="0"/>
      <c r="H127" s="0"/>
      <c r="I127" s="24"/>
    </row>
    <row r="128" customFormat="false" ht="12.75" hidden="false" customHeight="false" outlineLevel="0" collapsed="false">
      <c r="A128" s="30"/>
      <c r="B128" s="30"/>
      <c r="C128" s="0"/>
      <c r="D128" s="0"/>
      <c r="E128" s="0"/>
      <c r="F128" s="27"/>
      <c r="G128" s="0"/>
      <c r="H128" s="0"/>
      <c r="I128" s="24"/>
    </row>
    <row r="129" customFormat="false" ht="12.75" hidden="false" customHeight="false" outlineLevel="0" collapsed="false">
      <c r="A129" s="30"/>
      <c r="B129" s="30"/>
      <c r="C129" s="0"/>
      <c r="D129" s="0"/>
      <c r="E129" s="0"/>
      <c r="F129" s="27"/>
      <c r="G129" s="0"/>
      <c r="H129" s="0"/>
      <c r="I129" s="24"/>
    </row>
    <row r="130" customFormat="false" ht="12.75" hidden="false" customHeight="false" outlineLevel="0" collapsed="false">
      <c r="A130" s="30"/>
      <c r="B130" s="30"/>
      <c r="C130" s="0"/>
      <c r="D130" s="0"/>
      <c r="E130" s="0"/>
      <c r="F130" s="27"/>
      <c r="G130" s="0"/>
      <c r="H130" s="0"/>
      <c r="I130" s="24"/>
    </row>
    <row r="131" customFormat="false" ht="12.75" hidden="false" customHeight="false" outlineLevel="0" collapsed="false">
      <c r="A131" s="30"/>
      <c r="B131" s="30"/>
      <c r="C131" s="0"/>
      <c r="D131" s="0"/>
      <c r="E131" s="0"/>
      <c r="F131" s="27"/>
      <c r="G131" s="0"/>
      <c r="H131" s="0"/>
      <c r="I131" s="24"/>
    </row>
    <row r="132" customFormat="false" ht="12.75" hidden="false" customHeight="false" outlineLevel="0" collapsed="false">
      <c r="A132" s="0"/>
      <c r="B132" s="30"/>
      <c r="C132" s="0"/>
      <c r="D132" s="0"/>
      <c r="E132" s="0"/>
      <c r="F132" s="27"/>
      <c r="G132" s="0"/>
      <c r="H132" s="0"/>
      <c r="I132" s="24"/>
    </row>
    <row r="133" customFormat="false" ht="12.75" hidden="false" customHeight="false" outlineLevel="0" collapsed="false">
      <c r="A133" s="0"/>
      <c r="B133" s="31" t="s">
        <v>143</v>
      </c>
      <c r="C133" s="28" t="s">
        <v>18</v>
      </c>
      <c r="D133" s="0"/>
      <c r="E133" s="0"/>
      <c r="F133" s="27"/>
      <c r="G133" s="0"/>
      <c r="H133" s="0"/>
      <c r="I133" s="24"/>
    </row>
    <row r="134" customFormat="false" ht="12.75" hidden="false" customHeight="false" outlineLevel="0" collapsed="false">
      <c r="A134" s="30" t="n">
        <f aca="false">B134-0.75</f>
        <v>1</v>
      </c>
      <c r="B134" s="30" t="n">
        <v>1.75</v>
      </c>
      <c r="C134" s="18" t="n">
        <v>28</v>
      </c>
      <c r="D134" s="18" t="n">
        <v>-87.7</v>
      </c>
      <c r="E134" s="18" t="n">
        <v>50</v>
      </c>
      <c r="F134" s="27" t="n">
        <f aca="false">E134*0.5144</f>
        <v>25.72</v>
      </c>
      <c r="G134" s="0"/>
      <c r="H134" s="0"/>
      <c r="I134" s="0"/>
    </row>
    <row r="135" customFormat="false" ht="12.75" hidden="false" customHeight="false" outlineLevel="0" collapsed="false">
      <c r="A135" s="30" t="n">
        <f aca="false">B135-0.75</f>
        <v>1.25</v>
      </c>
      <c r="B135" s="30" t="n">
        <v>2</v>
      </c>
      <c r="C135" s="18" t="n">
        <v>28.1</v>
      </c>
      <c r="D135" s="18" t="n">
        <v>-89.3</v>
      </c>
      <c r="E135" s="18" t="n">
        <v>65</v>
      </c>
      <c r="F135" s="27" t="n">
        <f aca="false">E135*0.5144</f>
        <v>33.436</v>
      </c>
      <c r="G135" s="22" t="e">
        <f aca="false">arclethnm(C134,D134,C135,D135)/6</f>
        <v>#NAME?</v>
      </c>
      <c r="H135" s="22" t="e">
        <f aca="false">G135*0.5144</f>
        <v>#NAME?</v>
      </c>
      <c r="I135" s="0"/>
    </row>
    <row r="136" customFormat="false" ht="12.75" hidden="false" customHeight="false" outlineLevel="0" collapsed="false">
      <c r="A136" s="30" t="n">
        <f aca="false">B136-0.75</f>
        <v>1.5</v>
      </c>
      <c r="B136" s="30" t="n">
        <v>2.25</v>
      </c>
      <c r="C136" s="18" t="n">
        <v>28.1</v>
      </c>
      <c r="D136" s="18" t="n">
        <v>-90.2</v>
      </c>
      <c r="E136" s="18" t="n">
        <v>70</v>
      </c>
      <c r="F136" s="27" t="n">
        <f aca="false">E136*0.5144</f>
        <v>36.008</v>
      </c>
      <c r="G136" s="22" t="e">
        <f aca="false">arclethnm(C135,D135,C136,D136)/6</f>
        <v>#NAME?</v>
      </c>
      <c r="H136" s="22" t="e">
        <f aca="false">G136*0.5144</f>
        <v>#NAME?</v>
      </c>
      <c r="I136" s="0"/>
    </row>
    <row r="137" customFormat="false" ht="12.75" hidden="false" customHeight="false" outlineLevel="0" collapsed="false">
      <c r="A137" s="30" t="n">
        <f aca="false">B137-0.75</f>
        <v>1.75</v>
      </c>
      <c r="B137" s="30" t="n">
        <v>2.5</v>
      </c>
      <c r="C137" s="18" t="n">
        <v>28.2</v>
      </c>
      <c r="D137" s="18" t="n">
        <v>-91.1</v>
      </c>
      <c r="E137" s="18" t="n">
        <v>70</v>
      </c>
      <c r="F137" s="27" t="n">
        <f aca="false">E137*0.5144</f>
        <v>36.008</v>
      </c>
      <c r="G137" s="22" t="e">
        <f aca="false">arclethnm(C136,D136,C137,D137)/6</f>
        <v>#NAME?</v>
      </c>
      <c r="H137" s="22" t="e">
        <f aca="false">G137*0.5144</f>
        <v>#NAME?</v>
      </c>
      <c r="I137" s="0"/>
    </row>
    <row r="138" customFormat="false" ht="12.75" hidden="false" customHeight="false" outlineLevel="0" collapsed="false">
      <c r="A138" s="30" t="n">
        <f aca="false">B138-0.75</f>
        <v>2</v>
      </c>
      <c r="B138" s="30" t="n">
        <v>2.75</v>
      </c>
      <c r="C138" s="18" t="n">
        <v>28.5</v>
      </c>
      <c r="D138" s="18" t="n">
        <v>-92</v>
      </c>
      <c r="E138" s="18" t="n">
        <v>70</v>
      </c>
      <c r="F138" s="27" t="n">
        <f aca="false">E138*0.5144</f>
        <v>36.008</v>
      </c>
      <c r="G138" s="22" t="e">
        <f aca="false">arclethnm(C137,D137,C138,D138)/6</f>
        <v>#NAME?</v>
      </c>
      <c r="H138" s="22" t="e">
        <f aca="false">G138*0.5144</f>
        <v>#NAME?</v>
      </c>
      <c r="I138" s="0"/>
    </row>
    <row r="139" customFormat="false" ht="12.75" hidden="false" customHeight="false" outlineLevel="0" collapsed="false">
      <c r="A139" s="30" t="n">
        <f aca="false">B139-0.75</f>
        <v>2.25</v>
      </c>
      <c r="B139" s="30" t="n">
        <v>3</v>
      </c>
      <c r="C139" s="18" t="n">
        <v>28.8</v>
      </c>
      <c r="D139" s="18" t="n">
        <v>-92.9</v>
      </c>
      <c r="E139" s="18" t="n">
        <v>75</v>
      </c>
      <c r="F139" s="27" t="n">
        <f aca="false">E139*0.5144</f>
        <v>38.58</v>
      </c>
      <c r="G139" s="22" t="e">
        <f aca="false">arclethnm(C138,D138,C139,D139)/6</f>
        <v>#NAME?</v>
      </c>
      <c r="H139" s="22" t="e">
        <f aca="false">G139*0.5144</f>
        <v>#NAME?</v>
      </c>
      <c r="I139" s="0"/>
    </row>
    <row r="140" customFormat="false" ht="12.75" hidden="false" customHeight="false" outlineLevel="0" collapsed="false">
      <c r="A140" s="30" t="n">
        <f aca="false">B140-0.75</f>
        <v>2.5</v>
      </c>
      <c r="B140" s="30" t="n">
        <v>3.25</v>
      </c>
      <c r="C140" s="18" t="n">
        <v>29</v>
      </c>
      <c r="D140" s="18" t="n">
        <v>-93.6</v>
      </c>
      <c r="E140" s="18" t="n">
        <v>75</v>
      </c>
      <c r="F140" s="27" t="n">
        <f aca="false">E140*0.5144</f>
        <v>38.58</v>
      </c>
      <c r="G140" s="22" t="e">
        <f aca="false">arclethnm(C139,D139,C140,D140)/6</f>
        <v>#NAME?</v>
      </c>
      <c r="H140" s="22" t="e">
        <f aca="false">G140*0.5144</f>
        <v>#NAME?</v>
      </c>
      <c r="I140" s="0"/>
    </row>
    <row r="141" customFormat="false" ht="12.75" hidden="false" customHeight="false" outlineLevel="0" collapsed="false">
      <c r="A141" s="30" t="n">
        <f aca="false">B141-0.75</f>
        <v>2.75</v>
      </c>
      <c r="B141" s="30" t="n">
        <v>3.5</v>
      </c>
      <c r="C141" s="18" t="n">
        <v>29.3</v>
      </c>
      <c r="D141" s="18" t="n">
        <v>-94.1</v>
      </c>
      <c r="E141" s="18" t="n">
        <v>75</v>
      </c>
      <c r="F141" s="27" t="n">
        <f aca="false">E141*0.5144</f>
        <v>38.58</v>
      </c>
      <c r="G141" s="22" t="e">
        <f aca="false">arclethnm(C140,D140,C141,D141)/6</f>
        <v>#NAME?</v>
      </c>
      <c r="H141" s="22" t="e">
        <f aca="false">G141*0.5144</f>
        <v>#NAME?</v>
      </c>
      <c r="I141" s="0"/>
    </row>
    <row r="142" customFormat="false" ht="12.75" hidden="false" customHeight="false" outlineLevel="0" collapsed="false">
      <c r="A142" s="30" t="n">
        <f aca="false">B142-0.75</f>
        <v>3</v>
      </c>
      <c r="B142" s="30" t="n">
        <v>3.75</v>
      </c>
      <c r="C142" s="18" t="n">
        <v>29.5</v>
      </c>
      <c r="D142" s="18" t="n">
        <v>-94.7</v>
      </c>
      <c r="E142" s="18" t="n">
        <v>75</v>
      </c>
      <c r="F142" s="27" t="n">
        <f aca="false">E142*0.5144</f>
        <v>38.58</v>
      </c>
      <c r="G142" s="22" t="e">
        <f aca="false">arclethnm(C141,D141,C142,D142)/6</f>
        <v>#NAME?</v>
      </c>
      <c r="H142" s="22" t="e">
        <f aca="false">G142*0.5144</f>
        <v>#NAME?</v>
      </c>
      <c r="I142" s="0"/>
    </row>
    <row r="143" customFormat="false" ht="12.75" hidden="false" customHeight="false" outlineLevel="0" collapsed="false">
      <c r="A143" s="30" t="n">
        <f aca="false">B143-0.75</f>
        <v>3.25</v>
      </c>
      <c r="B143" s="30" t="n">
        <v>4</v>
      </c>
      <c r="C143" s="18" t="n">
        <v>29.8</v>
      </c>
      <c r="D143" s="18" t="n">
        <v>-95.2</v>
      </c>
      <c r="E143" s="18" t="n">
        <v>55</v>
      </c>
      <c r="F143" s="27" t="n">
        <f aca="false">E143*0.5144</f>
        <v>28.292</v>
      </c>
      <c r="G143" s="22" t="e">
        <f aca="false">arclethnm(C142,D142,C143,D143)/6</f>
        <v>#NAME?</v>
      </c>
      <c r="H143" s="22" t="e">
        <f aca="false">G143*0.5144</f>
        <v>#NAME?</v>
      </c>
      <c r="I143" s="0"/>
    </row>
    <row r="144" customFormat="false" ht="12.75" hidden="false" customHeight="false" outlineLevel="0" collapsed="false">
      <c r="A144" s="30" t="n">
        <f aca="false">B144-0.75</f>
        <v>3.5</v>
      </c>
      <c r="B144" s="30" t="n">
        <v>4.25</v>
      </c>
      <c r="C144" s="18" t="n">
        <v>30</v>
      </c>
      <c r="D144" s="18" t="n">
        <v>-95.7</v>
      </c>
      <c r="E144" s="18" t="n">
        <v>50</v>
      </c>
      <c r="F144" s="27" t="n">
        <f aca="false">E144*0.5144</f>
        <v>25.72</v>
      </c>
      <c r="G144" s="22" t="e">
        <f aca="false">arclethnm(C143,D143,C144,D144)/6</f>
        <v>#NAME?</v>
      </c>
      <c r="H144" s="22" t="e">
        <f aca="false">G144*0.5144</f>
        <v>#NAME?</v>
      </c>
      <c r="I144" s="0"/>
    </row>
    <row r="145" customFormat="false" ht="12.75" hidden="false" customHeight="false" outlineLevel="0" collapsed="false">
      <c r="A145" s="30" t="n">
        <f aca="false">B145-0.75</f>
        <v>3.75</v>
      </c>
      <c r="B145" s="30" t="n">
        <v>4.5</v>
      </c>
      <c r="C145" s="18" t="n">
        <v>30.4</v>
      </c>
      <c r="D145" s="18" t="n">
        <v>-96.2</v>
      </c>
      <c r="E145" s="18" t="n">
        <v>40</v>
      </c>
      <c r="F145" s="27" t="n">
        <f aca="false">E145*0.5144</f>
        <v>20.576</v>
      </c>
      <c r="G145" s="22" t="e">
        <f aca="false">arclethnm(C144,D144,C145,D145)/6</f>
        <v>#NAME?</v>
      </c>
      <c r="H145" s="22" t="e">
        <f aca="false">G145*0.5144</f>
        <v>#NAME?</v>
      </c>
      <c r="I145" s="0"/>
    </row>
    <row r="146" customFormat="false" ht="12.75" hidden="false" customHeight="false" outlineLevel="0" collapsed="false">
      <c r="A146" s="30" t="n">
        <f aca="false">B146-0.75</f>
        <v>4</v>
      </c>
      <c r="B146" s="30" t="n">
        <v>4.75</v>
      </c>
      <c r="C146" s="18" t="n">
        <v>30.6</v>
      </c>
      <c r="D146" s="18" t="n">
        <v>-96.7</v>
      </c>
      <c r="E146" s="18" t="n">
        <v>40</v>
      </c>
      <c r="F146" s="27" t="n">
        <f aca="false">E146*0.5144</f>
        <v>20.576</v>
      </c>
      <c r="G146" s="22" t="e">
        <f aca="false">arclethnm(C145,D145,C146,D146)/6</f>
        <v>#NAME?</v>
      </c>
      <c r="H146" s="22" t="e">
        <f aca="false">G146*0.5144</f>
        <v>#NAME?</v>
      </c>
      <c r="I146" s="0"/>
    </row>
    <row r="147" customFormat="false" ht="12.75" hidden="false" customHeight="false" outlineLevel="0" collapsed="false">
      <c r="A147" s="30" t="n">
        <f aca="false">B147-0.75</f>
        <v>4.25</v>
      </c>
      <c r="B147" s="30" t="n">
        <v>5</v>
      </c>
      <c r="C147" s="18" t="n">
        <v>31</v>
      </c>
      <c r="D147" s="18" t="n">
        <v>-97</v>
      </c>
      <c r="E147" s="18" t="n">
        <v>35</v>
      </c>
      <c r="F147" s="27" t="n">
        <f aca="false">E147*0.5144</f>
        <v>18.004</v>
      </c>
      <c r="G147" s="22" t="e">
        <f aca="false">arclethnm(C146,D146,C147,D147)/6</f>
        <v>#NAME?</v>
      </c>
      <c r="H147" s="22" t="e">
        <f aca="false">G147*0.5144</f>
        <v>#NAME?</v>
      </c>
      <c r="I147" s="0"/>
    </row>
    <row r="148" customFormat="false" ht="12.75" hidden="false" customHeight="false" outlineLevel="0" collapsed="false">
      <c r="A148" s="30" t="n">
        <f aca="false">B148-0.75</f>
        <v>4.5</v>
      </c>
      <c r="B148" s="30" t="n">
        <v>5.25</v>
      </c>
      <c r="C148" s="18" t="n">
        <v>31.5</v>
      </c>
      <c r="D148" s="18" t="n">
        <v>-97.3</v>
      </c>
      <c r="E148" s="18" t="n">
        <v>25</v>
      </c>
      <c r="F148" s="27" t="n">
        <f aca="false">E148*0.5144</f>
        <v>12.86</v>
      </c>
      <c r="G148" s="22" t="e">
        <f aca="false">arclethnm(C147,D147,C148,D148)/6</f>
        <v>#NAME?</v>
      </c>
      <c r="H148" s="22" t="e">
        <f aca="false">G148*0.5144</f>
        <v>#NAME?</v>
      </c>
      <c r="I148" s="0"/>
    </row>
    <row r="149" customFormat="false" ht="12.75" hidden="false" customHeight="false" outlineLevel="0" collapsed="false">
      <c r="A149" s="30" t="n">
        <f aca="false">B149-0.75</f>
        <v>4.75</v>
      </c>
      <c r="B149" s="30" t="n">
        <v>5.5</v>
      </c>
      <c r="C149" s="18" t="n">
        <v>32</v>
      </c>
      <c r="D149" s="18" t="n">
        <v>-97.4</v>
      </c>
      <c r="E149" s="18" t="n">
        <v>25</v>
      </c>
      <c r="F149" s="27" t="n">
        <f aca="false">E149*0.5144</f>
        <v>12.86</v>
      </c>
      <c r="G149" s="22" t="e">
        <f aca="false">arclethnm(C148,D148,C149,D149)/6</f>
        <v>#NAME?</v>
      </c>
      <c r="H149" s="22" t="e">
        <f aca="false">G149*0.5144</f>
        <v>#NAME?</v>
      </c>
      <c r="I149" s="0"/>
    </row>
    <row r="150" customFormat="false" ht="12.75" hidden="false" customHeight="false" outlineLevel="0" collapsed="false">
      <c r="A150" s="30" t="n">
        <f aca="false">B150-0.75</f>
        <v>5</v>
      </c>
      <c r="B150" s="30" t="n">
        <v>5.75</v>
      </c>
      <c r="C150" s="18" t="n">
        <v>32.5</v>
      </c>
      <c r="D150" s="18" t="n">
        <v>-97.4</v>
      </c>
      <c r="E150" s="18" t="n">
        <v>15</v>
      </c>
      <c r="F150" s="27" t="n">
        <f aca="false">E150*0.5144</f>
        <v>7.716</v>
      </c>
      <c r="G150" s="22" t="e">
        <f aca="false">arclethnm(C149,D149,C150,D150)/6</f>
        <v>#NAME?</v>
      </c>
      <c r="H150" s="22" t="e">
        <f aca="false">G150*0.5144</f>
        <v>#NAME?</v>
      </c>
      <c r="I150" s="0"/>
    </row>
    <row r="151" customFormat="false" ht="12.75" hidden="false" customHeight="false" outlineLevel="0" collapsed="false">
      <c r="A151" s="0"/>
      <c r="B151" s="24"/>
      <c r="C151" s="0"/>
      <c r="D151" s="0"/>
      <c r="E151" s="0"/>
      <c r="F151" s="27"/>
      <c r="G151" s="0"/>
      <c r="H151" s="0"/>
      <c r="I151" s="24"/>
    </row>
    <row r="152" customFormat="false" ht="12.75" hidden="false" customHeight="false" outlineLevel="0" collapsed="false">
      <c r="A152" s="30"/>
      <c r="B152" s="28" t="s">
        <v>144</v>
      </c>
      <c r="C152" s="28" t="s">
        <v>18</v>
      </c>
      <c r="D152" s="0"/>
      <c r="E152" s="0"/>
      <c r="F152" s="27"/>
      <c r="G152" s="0"/>
      <c r="H152" s="0"/>
      <c r="I152" s="24"/>
    </row>
    <row r="153" customFormat="false" ht="12.75" hidden="false" customHeight="false" outlineLevel="0" collapsed="false">
      <c r="A153" s="30"/>
      <c r="B153" s="24"/>
      <c r="C153" s="0"/>
      <c r="D153" s="0"/>
      <c r="E153" s="0"/>
      <c r="F153" s="27"/>
      <c r="G153" s="0"/>
      <c r="H153" s="0"/>
      <c r="I153" s="24"/>
    </row>
    <row r="154" customFormat="false" ht="12.75" hidden="false" customHeight="false" outlineLevel="0" collapsed="false">
      <c r="A154" s="30"/>
      <c r="B154" s="24" t="n">
        <v>1</v>
      </c>
      <c r="C154" s="18" t="n">
        <v>19.4</v>
      </c>
      <c r="D154" s="18" t="n">
        <v>-94</v>
      </c>
      <c r="E154" s="18" t="n">
        <v>60</v>
      </c>
      <c r="F154" s="27" t="n">
        <f aca="false">E154*0.5144</f>
        <v>30.864</v>
      </c>
      <c r="G154" s="0"/>
      <c r="H154" s="0"/>
      <c r="I154" s="0"/>
    </row>
    <row r="155" customFormat="false" ht="12.75" hidden="false" customHeight="false" outlineLevel="0" collapsed="false">
      <c r="A155" s="30"/>
      <c r="B155" s="24" t="n">
        <v>1.25</v>
      </c>
      <c r="C155" s="18" t="n">
        <v>20.9</v>
      </c>
      <c r="D155" s="18" t="n">
        <v>-94.7</v>
      </c>
      <c r="E155" s="18" t="n">
        <v>60</v>
      </c>
      <c r="F155" s="27" t="n">
        <f aca="false">E155*0.5144</f>
        <v>30.864</v>
      </c>
      <c r="G155" s="22" t="e">
        <f aca="false">arclethnm(C154,D154,C155,D155)/6</f>
        <v>#NAME?</v>
      </c>
      <c r="H155" s="22" t="e">
        <f aca="false">G155*0.5144</f>
        <v>#NAME?</v>
      </c>
      <c r="I155" s="0"/>
    </row>
    <row r="156" customFormat="false" ht="12.75" hidden="false" customHeight="false" outlineLevel="0" collapsed="false">
      <c r="A156" s="30"/>
      <c r="B156" s="24" t="n">
        <v>1.5</v>
      </c>
      <c r="C156" s="18" t="n">
        <v>21.6</v>
      </c>
      <c r="D156" s="18" t="n">
        <v>-95.2</v>
      </c>
      <c r="E156" s="18" t="n">
        <v>65</v>
      </c>
      <c r="F156" s="27" t="n">
        <f aca="false">E156*0.5144</f>
        <v>33.436</v>
      </c>
      <c r="G156" s="22" t="e">
        <f aca="false">arclethnm(C155,D155,C156,D156)/6</f>
        <v>#NAME?</v>
      </c>
      <c r="H156" s="22" t="e">
        <f aca="false">G156*0.5144</f>
        <v>#NAME?</v>
      </c>
      <c r="I156" s="0"/>
    </row>
    <row r="157" customFormat="false" ht="12.75" hidden="false" customHeight="false" outlineLevel="0" collapsed="false">
      <c r="A157" s="30"/>
      <c r="B157" s="24" t="n">
        <v>1.75</v>
      </c>
      <c r="C157" s="18" t="n">
        <v>22.4</v>
      </c>
      <c r="D157" s="18" t="n">
        <v>-95.7</v>
      </c>
      <c r="E157" s="18" t="n">
        <v>70</v>
      </c>
      <c r="F157" s="27" t="n">
        <f aca="false">E157*0.5144</f>
        <v>36.008</v>
      </c>
      <c r="G157" s="22" t="e">
        <f aca="false">arclethnm(C156,D156,C157,D157)/6</f>
        <v>#NAME?</v>
      </c>
      <c r="H157" s="22" t="e">
        <f aca="false">G157*0.5144</f>
        <v>#NAME?</v>
      </c>
      <c r="I157" s="0"/>
    </row>
    <row r="158" customFormat="false" ht="12.75" hidden="false" customHeight="false" outlineLevel="0" collapsed="false">
      <c r="A158" s="30"/>
      <c r="B158" s="24" t="n">
        <v>2</v>
      </c>
      <c r="C158" s="18" t="n">
        <v>23.4</v>
      </c>
      <c r="D158" s="18" t="n">
        <v>-96.1</v>
      </c>
      <c r="E158" s="18" t="n">
        <v>75</v>
      </c>
      <c r="F158" s="27" t="n">
        <f aca="false">E158*0.5144</f>
        <v>38.58</v>
      </c>
      <c r="G158" s="22" t="e">
        <f aca="false">arclethnm(C157,D157,C158,D158)/6</f>
        <v>#NAME?</v>
      </c>
      <c r="H158" s="22" t="e">
        <f aca="false">G158*0.5144</f>
        <v>#NAME?</v>
      </c>
      <c r="I158" s="0"/>
    </row>
    <row r="159" customFormat="false" ht="12.75" hidden="false" customHeight="false" outlineLevel="0" collapsed="false">
      <c r="A159" s="30"/>
      <c r="B159" s="24" t="n">
        <v>2.25</v>
      </c>
      <c r="C159" s="18" t="n">
        <v>24.3</v>
      </c>
      <c r="D159" s="18" t="n">
        <v>-96.4</v>
      </c>
      <c r="E159" s="18" t="n">
        <v>80</v>
      </c>
      <c r="F159" s="27" t="n">
        <f aca="false">E159*0.5144</f>
        <v>41.152</v>
      </c>
      <c r="G159" s="22" t="e">
        <f aca="false">arclethnm(C158,D158,C159,D159)/6</f>
        <v>#NAME?</v>
      </c>
      <c r="H159" s="22" t="e">
        <f aca="false">G159*0.5144</f>
        <v>#NAME?</v>
      </c>
      <c r="I159" s="0"/>
    </row>
    <row r="160" customFormat="false" ht="12.75" hidden="false" customHeight="false" outlineLevel="0" collapsed="false">
      <c r="A160" s="30"/>
      <c r="B160" s="24" t="n">
        <v>2.5</v>
      </c>
      <c r="C160" s="18" t="n">
        <v>24.9</v>
      </c>
      <c r="D160" s="18" t="n">
        <v>-96.6</v>
      </c>
      <c r="E160" s="18" t="n">
        <v>85</v>
      </c>
      <c r="F160" s="27" t="n">
        <f aca="false">E160*0.5144</f>
        <v>43.724</v>
      </c>
      <c r="G160" s="22" t="e">
        <f aca="false">arclethnm(C159,D159,C160,D160)/6</f>
        <v>#NAME?</v>
      </c>
      <c r="H160" s="22" t="e">
        <f aca="false">G160*0.5144</f>
        <v>#NAME?</v>
      </c>
      <c r="I160" s="0"/>
    </row>
    <row r="161" customFormat="false" ht="12.75" hidden="false" customHeight="false" outlineLevel="0" collapsed="false">
      <c r="A161" s="30"/>
      <c r="B161" s="24" t="n">
        <v>2.75</v>
      </c>
      <c r="C161" s="18" t="n">
        <v>25.4</v>
      </c>
      <c r="D161" s="18" t="n">
        <v>-96.7</v>
      </c>
      <c r="E161" s="18" t="n">
        <v>90</v>
      </c>
      <c r="F161" s="27" t="n">
        <f aca="false">E161*0.5144</f>
        <v>46.296</v>
      </c>
      <c r="G161" s="22" t="e">
        <f aca="false">arclethnm(C160,D160,C161,D161)/6</f>
        <v>#NAME?</v>
      </c>
      <c r="H161" s="22" t="e">
        <f aca="false">G161*0.5144</f>
        <v>#NAME?</v>
      </c>
      <c r="I161" s="0"/>
    </row>
    <row r="162" customFormat="false" ht="12.75" hidden="false" customHeight="false" outlineLevel="0" collapsed="false">
      <c r="A162" s="30"/>
      <c r="B162" s="24" t="n">
        <v>3</v>
      </c>
      <c r="C162" s="18" t="n">
        <v>26</v>
      </c>
      <c r="D162" s="18" t="n">
        <v>-96.8</v>
      </c>
      <c r="E162" s="18" t="n">
        <v>95</v>
      </c>
      <c r="F162" s="27" t="n">
        <f aca="false">E162*0.5144</f>
        <v>48.868</v>
      </c>
      <c r="G162" s="22" t="e">
        <f aca="false">arclethnm(C161,D161,C162,D162)/6</f>
        <v>#NAME?</v>
      </c>
      <c r="H162" s="22" t="e">
        <f aca="false">G162*0.5144</f>
        <v>#NAME?</v>
      </c>
      <c r="I162" s="0"/>
    </row>
    <row r="163" customFormat="false" ht="12.75" hidden="false" customHeight="false" outlineLevel="0" collapsed="false">
      <c r="A163" s="30"/>
      <c r="B163" s="24" t="n">
        <v>3.25</v>
      </c>
      <c r="C163" s="18" t="n">
        <v>26.6</v>
      </c>
      <c r="D163" s="18" t="n">
        <v>-96.8</v>
      </c>
      <c r="E163" s="18" t="n">
        <v>100</v>
      </c>
      <c r="F163" s="27" t="n">
        <f aca="false">E163*0.5144</f>
        <v>51.44</v>
      </c>
      <c r="G163" s="22" t="e">
        <f aca="false">arclethnm(C162,D162,C163,D163)/6</f>
        <v>#NAME?</v>
      </c>
      <c r="H163" s="22" t="e">
        <f aca="false">G163*0.5144</f>
        <v>#NAME?</v>
      </c>
      <c r="I163" s="0"/>
    </row>
    <row r="164" customFormat="false" ht="12.75" hidden="false" customHeight="false" outlineLevel="0" collapsed="false">
      <c r="A164" s="30"/>
      <c r="B164" s="24" t="n">
        <v>3.5</v>
      </c>
      <c r="C164" s="18" t="n">
        <v>27</v>
      </c>
      <c r="D164" s="18" t="n">
        <v>-96.8</v>
      </c>
      <c r="E164" s="18" t="n">
        <v>105</v>
      </c>
      <c r="F164" s="27" t="n">
        <f aca="false">E164*0.5144</f>
        <v>54.012</v>
      </c>
      <c r="G164" s="22" t="e">
        <f aca="false">arclethnm(C163,D163,C164,D164)/6</f>
        <v>#NAME?</v>
      </c>
      <c r="H164" s="22" t="e">
        <f aca="false">G164*0.5144</f>
        <v>#NAME?</v>
      </c>
      <c r="I164" s="0"/>
    </row>
    <row r="165" customFormat="false" ht="12.75" hidden="false" customHeight="false" outlineLevel="0" collapsed="false">
      <c r="A165" s="30"/>
      <c r="B165" s="24" t="n">
        <v>3.75</v>
      </c>
      <c r="C165" s="18" t="n">
        <v>27.3</v>
      </c>
      <c r="D165" s="18" t="n">
        <v>-96.8</v>
      </c>
      <c r="E165" s="18" t="n">
        <v>110</v>
      </c>
      <c r="F165" s="27" t="n">
        <f aca="false">E165*0.5144</f>
        <v>56.584</v>
      </c>
      <c r="G165" s="22" t="e">
        <f aca="false">arclethnm(C164,D164,C165,D165)/6</f>
        <v>#NAME?</v>
      </c>
      <c r="H165" s="22" t="e">
        <f aca="false">G165*0.5144</f>
        <v>#NAME?</v>
      </c>
      <c r="I165" s="0"/>
    </row>
    <row r="166" customFormat="false" ht="12.75" hidden="false" customHeight="false" outlineLevel="0" collapsed="false">
      <c r="A166" s="30"/>
      <c r="B166" s="24" t="n">
        <v>4</v>
      </c>
      <c r="C166" s="18" t="n">
        <v>27.8</v>
      </c>
      <c r="D166" s="18" t="n">
        <v>-96.5</v>
      </c>
      <c r="E166" s="18" t="n">
        <v>115</v>
      </c>
      <c r="F166" s="27" t="n">
        <f aca="false">E166*0.5144</f>
        <v>59.156</v>
      </c>
      <c r="G166" s="22" t="e">
        <f aca="false">arclethnm(C165,D165,C166,D166)/6</f>
        <v>#NAME?</v>
      </c>
      <c r="H166" s="22" t="e">
        <f aca="false">G166*0.5144</f>
        <v>#NAME?</v>
      </c>
      <c r="I166" s="0"/>
    </row>
    <row r="167" customFormat="false" ht="12.75" hidden="false" customHeight="false" outlineLevel="0" collapsed="false">
      <c r="A167" s="30"/>
      <c r="B167" s="24" t="n">
        <v>4.25</v>
      </c>
      <c r="C167" s="18" t="n">
        <v>28.2</v>
      </c>
      <c r="D167" s="18" t="n">
        <v>-96.2</v>
      </c>
      <c r="E167" s="18" t="n">
        <v>115</v>
      </c>
      <c r="F167" s="27" t="n">
        <f aca="false">E167*0.5144</f>
        <v>59.156</v>
      </c>
      <c r="G167" s="22" t="e">
        <f aca="false">arclethnm(C166,D166,C167,D167)/6</f>
        <v>#NAME?</v>
      </c>
      <c r="H167" s="22" t="e">
        <f aca="false">G167*0.5144</f>
        <v>#NAME?</v>
      </c>
      <c r="I167" s="0"/>
    </row>
    <row r="168" customFormat="false" ht="12.75" hidden="false" customHeight="false" outlineLevel="0" collapsed="false">
      <c r="A168" s="30"/>
      <c r="B168" s="24" t="n">
        <v>4.5</v>
      </c>
      <c r="C168" s="18" t="n">
        <v>28.6</v>
      </c>
      <c r="D168" s="18" t="n">
        <v>-96.1</v>
      </c>
      <c r="E168" s="18" t="n">
        <v>120</v>
      </c>
      <c r="F168" s="27" t="n">
        <f aca="false">E168*0.5144</f>
        <v>61.728</v>
      </c>
      <c r="G168" s="22" t="e">
        <f aca="false">arclethnm(C167,D167,C168,D168)/6</f>
        <v>#NAME?</v>
      </c>
      <c r="H168" s="22" t="e">
        <f aca="false">G168*0.5144</f>
        <v>#NAME?</v>
      </c>
      <c r="I168" s="0"/>
    </row>
    <row r="169" customFormat="false" ht="12.75" hidden="false" customHeight="false" outlineLevel="0" collapsed="false">
      <c r="A169" s="30"/>
      <c r="B169" s="24" t="n">
        <v>4.75</v>
      </c>
      <c r="C169" s="18" t="n">
        <v>29.1</v>
      </c>
      <c r="D169" s="18" t="n">
        <v>-96</v>
      </c>
      <c r="E169" s="18" t="n">
        <v>120</v>
      </c>
      <c r="F169" s="27" t="n">
        <f aca="false">E169*0.5144</f>
        <v>61.728</v>
      </c>
      <c r="G169" s="22" t="e">
        <f aca="false">arclethnm(C168,D168,C169,D169)/6</f>
        <v>#NAME?</v>
      </c>
      <c r="H169" s="22" t="e">
        <f aca="false">G169*0.5144</f>
        <v>#NAME?</v>
      </c>
      <c r="I169" s="0"/>
    </row>
    <row r="170" customFormat="false" ht="12.75" hidden="false" customHeight="false" outlineLevel="0" collapsed="false">
      <c r="A170" s="30"/>
      <c r="B170" s="24" t="n">
        <v>5</v>
      </c>
      <c r="C170" s="18" t="n">
        <v>29.5</v>
      </c>
      <c r="D170" s="18" t="n">
        <v>-96</v>
      </c>
      <c r="E170" s="18" t="n">
        <v>65</v>
      </c>
      <c r="F170" s="27" t="n">
        <f aca="false">E170*0.5144</f>
        <v>33.436</v>
      </c>
      <c r="G170" s="22" t="e">
        <f aca="false">arclethnm(C169,D169,C170,D170)/6</f>
        <v>#NAME?</v>
      </c>
      <c r="H170" s="22" t="e">
        <f aca="false">G170*0.5144</f>
        <v>#NAME?</v>
      </c>
      <c r="I170" s="0"/>
    </row>
    <row r="171" customFormat="false" ht="12.75" hidden="false" customHeight="false" outlineLevel="0" collapsed="false">
      <c r="A171" s="30"/>
      <c r="B171" s="24" t="n">
        <v>5.25</v>
      </c>
      <c r="C171" s="18" t="n">
        <v>29.9</v>
      </c>
      <c r="D171" s="18" t="n">
        <v>-96.1</v>
      </c>
      <c r="E171" s="18" t="n">
        <v>50</v>
      </c>
      <c r="F171" s="27" t="n">
        <f aca="false">E171*0.5144</f>
        <v>25.72</v>
      </c>
      <c r="G171" s="22" t="e">
        <f aca="false">arclethnm(C170,D170,C171,D171)/6</f>
        <v>#NAME?</v>
      </c>
      <c r="H171" s="22" t="e">
        <f aca="false">G171*0.5144</f>
        <v>#NAME?</v>
      </c>
      <c r="I171" s="0"/>
    </row>
    <row r="172" customFormat="false" ht="12.75" hidden="false" customHeight="false" outlineLevel="0" collapsed="false">
      <c r="A172" s="30"/>
      <c r="B172" s="24" t="n">
        <v>5.5</v>
      </c>
      <c r="C172" s="18" t="n">
        <v>30.6</v>
      </c>
      <c r="D172" s="18" t="n">
        <v>-96.4</v>
      </c>
      <c r="E172" s="18" t="n">
        <v>40</v>
      </c>
      <c r="F172" s="27" t="n">
        <f aca="false">E172*0.5144</f>
        <v>20.576</v>
      </c>
      <c r="G172" s="22" t="e">
        <f aca="false">arclethnm(C171,D171,C172,D172)/6</f>
        <v>#NAME?</v>
      </c>
      <c r="H172" s="22" t="e">
        <f aca="false">G172*0.5144</f>
        <v>#NAME?</v>
      </c>
      <c r="I172" s="0"/>
    </row>
    <row r="173" customFormat="false" ht="12.75" hidden="false" customHeight="false" outlineLevel="0" collapsed="false">
      <c r="A173" s="30"/>
      <c r="B173" s="24" t="n">
        <v>5.75</v>
      </c>
      <c r="C173" s="18" t="n">
        <v>31</v>
      </c>
      <c r="D173" s="18" t="n">
        <v>-96.6</v>
      </c>
      <c r="E173" s="18" t="n">
        <v>35</v>
      </c>
      <c r="F173" s="27" t="n">
        <f aca="false">E173*0.5144</f>
        <v>18.004</v>
      </c>
      <c r="G173" s="22" t="e">
        <f aca="false">arclethnm(C172,D172,C173,D173)/6</f>
        <v>#NAME?</v>
      </c>
      <c r="H173" s="22" t="e">
        <f aca="false">G173*0.5144</f>
        <v>#NAME?</v>
      </c>
      <c r="I173" s="0"/>
    </row>
    <row r="174" customFormat="false" ht="12.75" hidden="false" customHeight="false" outlineLevel="0" collapsed="false">
      <c r="A174" s="30"/>
      <c r="B174" s="24" t="n">
        <v>6</v>
      </c>
      <c r="C174" s="18" t="n">
        <v>31.5</v>
      </c>
      <c r="D174" s="18" t="n">
        <v>-97.1</v>
      </c>
      <c r="E174" s="18" t="n">
        <v>30</v>
      </c>
      <c r="F174" s="27" t="n">
        <f aca="false">E174*0.5144</f>
        <v>15.432</v>
      </c>
      <c r="G174" s="22" t="e">
        <f aca="false">arclethnm(C173,D173,C174,D174)/6</f>
        <v>#NAME?</v>
      </c>
      <c r="H174" s="22" t="e">
        <f aca="false">G174*0.5144</f>
        <v>#NAME?</v>
      </c>
      <c r="I174" s="0"/>
    </row>
    <row r="175" customFormat="false" ht="12.75" hidden="false" customHeight="false" outlineLevel="0" collapsed="false">
      <c r="A175" s="30"/>
      <c r="B175" s="24" t="n">
        <v>6.25</v>
      </c>
      <c r="C175" s="18" t="n">
        <v>31.8</v>
      </c>
      <c r="D175" s="18" t="n">
        <v>-97.5</v>
      </c>
      <c r="E175" s="18" t="n">
        <v>25</v>
      </c>
      <c r="F175" s="27" t="n">
        <f aca="false">E175*0.5144</f>
        <v>12.86</v>
      </c>
      <c r="G175" s="22" t="e">
        <f aca="false">arclethnm(C174,D174,C175,D175)/6</f>
        <v>#NAME?</v>
      </c>
      <c r="H175" s="22" t="e">
        <f aca="false">G175*0.5144</f>
        <v>#NAME?</v>
      </c>
      <c r="I175" s="0"/>
    </row>
    <row r="176" customFormat="false" ht="12.75" hidden="false" customHeight="false" outlineLevel="0" collapsed="false">
      <c r="A176" s="30"/>
      <c r="B176" s="24" t="n">
        <v>6.5</v>
      </c>
      <c r="C176" s="18" t="n">
        <v>32.1</v>
      </c>
      <c r="D176" s="18" t="n">
        <v>-97.9</v>
      </c>
      <c r="E176" s="18" t="n">
        <v>20</v>
      </c>
      <c r="F176" s="27" t="n">
        <f aca="false">E176*0.5144</f>
        <v>10.288</v>
      </c>
      <c r="G176" s="22" t="e">
        <f aca="false">arclethnm(C175,D175,C176,D176)/6</f>
        <v>#NAME?</v>
      </c>
      <c r="H176" s="22" t="e">
        <f aca="false">G176*0.5144</f>
        <v>#NAME?</v>
      </c>
      <c r="I176" s="0"/>
    </row>
    <row r="177" customFormat="false" ht="12.75" hidden="false" customHeight="false" outlineLevel="0" collapsed="false">
      <c r="A177" s="0"/>
      <c r="B177" s="24"/>
      <c r="C177" s="0"/>
      <c r="D177" s="0"/>
      <c r="E177" s="0"/>
      <c r="F177" s="27"/>
      <c r="G177" s="0"/>
      <c r="H177" s="0"/>
      <c r="I177" s="24"/>
    </row>
    <row r="178" customFormat="false" ht="12.75" hidden="false" customHeight="false" outlineLevel="0" collapsed="false">
      <c r="A178" s="0"/>
      <c r="B178" s="28" t="s">
        <v>145</v>
      </c>
      <c r="C178" s="28" t="s">
        <v>18</v>
      </c>
      <c r="D178" s="0"/>
      <c r="E178" s="0"/>
      <c r="F178" s="27"/>
      <c r="G178" s="0"/>
      <c r="H178" s="0"/>
      <c r="I178" s="24"/>
    </row>
    <row r="179" customFormat="false" ht="12.75" hidden="false" customHeight="false" outlineLevel="0" collapsed="false">
      <c r="A179" s="18" t="n">
        <f aca="false">B179-0.75</f>
        <v>1</v>
      </c>
      <c r="B179" s="24" t="n">
        <v>1.75</v>
      </c>
      <c r="C179" s="18" t="n">
        <v>24</v>
      </c>
      <c r="D179" s="18" t="n">
        <v>-80</v>
      </c>
      <c r="E179" s="18" t="n">
        <v>35</v>
      </c>
      <c r="F179" s="27" t="n">
        <f aca="false">E179*0.5144</f>
        <v>18.004</v>
      </c>
      <c r="G179" s="0"/>
      <c r="H179" s="0"/>
      <c r="I179" s="0"/>
    </row>
    <row r="180" customFormat="false" ht="12.75" hidden="false" customHeight="false" outlineLevel="0" collapsed="false">
      <c r="A180" s="18" t="n">
        <f aca="false">B180-0.75</f>
        <v>1.25</v>
      </c>
      <c r="B180" s="24" t="n">
        <v>2</v>
      </c>
      <c r="C180" s="18" t="n">
        <v>24.1</v>
      </c>
      <c r="D180" s="18" t="n">
        <v>-81.5</v>
      </c>
      <c r="E180" s="18" t="n">
        <v>35</v>
      </c>
      <c r="F180" s="27" t="n">
        <f aca="false">E180*0.5144</f>
        <v>18.004</v>
      </c>
      <c r="G180" s="22" t="e">
        <f aca="false">arclethnm(C179,D179,C180,D180)/6</f>
        <v>#NAME?</v>
      </c>
      <c r="H180" s="22" t="e">
        <f aca="false">G180*0.5144</f>
        <v>#NAME?</v>
      </c>
      <c r="I180" s="0"/>
    </row>
    <row r="181" customFormat="false" ht="12.75" hidden="false" customHeight="false" outlineLevel="0" collapsed="false">
      <c r="A181" s="18" t="n">
        <f aca="false">B181-0.75</f>
        <v>1.5</v>
      </c>
      <c r="B181" s="24" t="n">
        <v>2.25</v>
      </c>
      <c r="C181" s="18" t="n">
        <v>24.1</v>
      </c>
      <c r="D181" s="18" t="n">
        <v>-82.3</v>
      </c>
      <c r="E181" s="18" t="n">
        <v>40</v>
      </c>
      <c r="F181" s="27" t="n">
        <f aca="false">E181*0.5144</f>
        <v>20.576</v>
      </c>
      <c r="G181" s="22" t="e">
        <f aca="false">arclethnm(C180,D180,C181,D181)/6</f>
        <v>#NAME?</v>
      </c>
      <c r="H181" s="22" t="e">
        <f aca="false">G181*0.5144</f>
        <v>#NAME?</v>
      </c>
      <c r="I181" s="0"/>
    </row>
    <row r="182" customFormat="false" ht="12.75" hidden="false" customHeight="false" outlineLevel="0" collapsed="false">
      <c r="A182" s="18" t="n">
        <f aca="false">B182-0.75</f>
        <v>1.75</v>
      </c>
      <c r="B182" s="24" t="n">
        <v>2.5</v>
      </c>
      <c r="C182" s="18" t="n">
        <v>24.2</v>
      </c>
      <c r="D182" s="18" t="n">
        <v>-83.1</v>
      </c>
      <c r="E182" s="18" t="n">
        <v>40</v>
      </c>
      <c r="F182" s="27" t="n">
        <f aca="false">E182*0.5144</f>
        <v>20.576</v>
      </c>
      <c r="G182" s="22" t="e">
        <f aca="false">arclethnm(C181,D181,C182,D182)/6</f>
        <v>#NAME?</v>
      </c>
      <c r="H182" s="22" t="e">
        <f aca="false">G182*0.5144</f>
        <v>#NAME?</v>
      </c>
      <c r="I182" s="0"/>
    </row>
    <row r="183" customFormat="false" ht="12.75" hidden="false" customHeight="false" outlineLevel="0" collapsed="false">
      <c r="A183" s="18" t="n">
        <f aca="false">B183-0.75</f>
        <v>2</v>
      </c>
      <c r="B183" s="24" t="n">
        <v>2.75</v>
      </c>
      <c r="C183" s="18" t="n">
        <v>24.3</v>
      </c>
      <c r="D183" s="18" t="n">
        <v>-84</v>
      </c>
      <c r="E183" s="18" t="n">
        <v>45</v>
      </c>
      <c r="F183" s="27" t="n">
        <f aca="false">E183*0.5144</f>
        <v>23.148</v>
      </c>
      <c r="G183" s="22" t="e">
        <f aca="false">arclethnm(C182,D182,C183,D183)/6</f>
        <v>#NAME?</v>
      </c>
      <c r="H183" s="22" t="e">
        <f aca="false">G183*0.5144</f>
        <v>#NAME?</v>
      </c>
      <c r="I183" s="0"/>
    </row>
    <row r="184" customFormat="false" ht="12.75" hidden="false" customHeight="false" outlineLevel="0" collapsed="false">
      <c r="A184" s="18" t="n">
        <f aca="false">B184-0.75</f>
        <v>2.25</v>
      </c>
      <c r="B184" s="24" t="n">
        <v>3</v>
      </c>
      <c r="C184" s="18" t="n">
        <v>24.3</v>
      </c>
      <c r="D184" s="18" t="n">
        <v>-84.9</v>
      </c>
      <c r="E184" s="18" t="n">
        <v>45</v>
      </c>
      <c r="F184" s="27" t="n">
        <f aca="false">E184*0.5144</f>
        <v>23.148</v>
      </c>
      <c r="G184" s="22" t="e">
        <f aca="false">arclethnm(C183,D183,C184,D184)/6</f>
        <v>#NAME?</v>
      </c>
      <c r="H184" s="22" t="e">
        <f aca="false">G184*0.5144</f>
        <v>#NAME?</v>
      </c>
      <c r="I184" s="0"/>
    </row>
    <row r="185" customFormat="false" ht="12.75" hidden="false" customHeight="false" outlineLevel="0" collapsed="false">
      <c r="A185" s="18" t="n">
        <f aca="false">B185-0.75</f>
        <v>2.5</v>
      </c>
      <c r="B185" s="24" t="n">
        <v>3.25</v>
      </c>
      <c r="C185" s="18" t="n">
        <v>24.4</v>
      </c>
      <c r="D185" s="18" t="n">
        <v>-85.6</v>
      </c>
      <c r="E185" s="18" t="n">
        <v>45</v>
      </c>
      <c r="F185" s="27" t="n">
        <f aca="false">E185*0.5144</f>
        <v>23.148</v>
      </c>
      <c r="G185" s="22" t="e">
        <f aca="false">arclethnm(C184,D184,C185,D185)/6</f>
        <v>#NAME?</v>
      </c>
      <c r="H185" s="22" t="e">
        <f aca="false">G185*0.5144</f>
        <v>#NAME?</v>
      </c>
      <c r="I185" s="0"/>
    </row>
    <row r="186" customFormat="false" ht="12.75" hidden="false" customHeight="false" outlineLevel="0" collapsed="false">
      <c r="A186" s="18" t="n">
        <f aca="false">B186-0.75</f>
        <v>2.75</v>
      </c>
      <c r="B186" s="24" t="n">
        <v>3.5</v>
      </c>
      <c r="C186" s="18" t="n">
        <v>24.5</v>
      </c>
      <c r="D186" s="18" t="n">
        <v>-86.2</v>
      </c>
      <c r="E186" s="18" t="n">
        <v>40</v>
      </c>
      <c r="F186" s="27" t="n">
        <f aca="false">E186*0.5144</f>
        <v>20.576</v>
      </c>
      <c r="G186" s="22" t="e">
        <f aca="false">arclethnm(C185,D185,C186,D186)/6</f>
        <v>#NAME?</v>
      </c>
      <c r="H186" s="22" t="e">
        <f aca="false">G186*0.5144</f>
        <v>#NAME?</v>
      </c>
      <c r="I186" s="0"/>
    </row>
    <row r="187" customFormat="false" ht="12.75" hidden="false" customHeight="false" outlineLevel="0" collapsed="false">
      <c r="A187" s="18" t="n">
        <f aca="false">B187-0.75</f>
        <v>3</v>
      </c>
      <c r="B187" s="24" t="n">
        <v>3.75</v>
      </c>
      <c r="C187" s="18" t="n">
        <v>24.6</v>
      </c>
      <c r="D187" s="18" t="n">
        <v>-86.7</v>
      </c>
      <c r="E187" s="18" t="n">
        <v>35</v>
      </c>
      <c r="F187" s="27" t="n">
        <f aca="false">E187*0.5144</f>
        <v>18.004</v>
      </c>
      <c r="G187" s="22" t="e">
        <f aca="false">arclethnm(C186,D186,C187,D187)/6</f>
        <v>#NAME?</v>
      </c>
      <c r="H187" s="22" t="e">
        <f aca="false">G187*0.5144</f>
        <v>#NAME?</v>
      </c>
      <c r="I187" s="0"/>
    </row>
    <row r="188" customFormat="false" ht="12.75" hidden="false" customHeight="false" outlineLevel="0" collapsed="false">
      <c r="A188" s="18" t="n">
        <f aca="false">B188-0.75</f>
        <v>3.25</v>
      </c>
      <c r="B188" s="24" t="n">
        <v>4</v>
      </c>
      <c r="C188" s="18" t="n">
        <v>24.8</v>
      </c>
      <c r="D188" s="18" t="n">
        <v>-87.2</v>
      </c>
      <c r="E188" s="18" t="n">
        <v>35</v>
      </c>
      <c r="F188" s="27" t="n">
        <f aca="false">E188*0.5144</f>
        <v>18.004</v>
      </c>
      <c r="G188" s="22" t="e">
        <f aca="false">arclethnm(C187,D187,C188,D188)/6</f>
        <v>#NAME?</v>
      </c>
      <c r="H188" s="22" t="e">
        <f aca="false">G188*0.5144</f>
        <v>#NAME?</v>
      </c>
      <c r="I188" s="0"/>
    </row>
    <row r="189" customFormat="false" ht="12.75" hidden="false" customHeight="false" outlineLevel="0" collapsed="false">
      <c r="A189" s="18" t="n">
        <f aca="false">B189-0.75</f>
        <v>3.5</v>
      </c>
      <c r="B189" s="24" t="n">
        <v>4.25</v>
      </c>
      <c r="C189" s="18" t="n">
        <v>25.1</v>
      </c>
      <c r="D189" s="18" t="n">
        <v>-87.9</v>
      </c>
      <c r="E189" s="18" t="n">
        <v>40</v>
      </c>
      <c r="F189" s="27" t="n">
        <f aca="false">E189*0.5144</f>
        <v>20.576</v>
      </c>
      <c r="G189" s="22" t="e">
        <f aca="false">arclethnm(C188,D188,C189,D189)/6</f>
        <v>#NAME?</v>
      </c>
      <c r="H189" s="22" t="e">
        <f aca="false">G189*0.5144</f>
        <v>#NAME?</v>
      </c>
      <c r="I189" s="0"/>
    </row>
    <row r="190" customFormat="false" ht="12.75" hidden="false" customHeight="false" outlineLevel="0" collapsed="false">
      <c r="A190" s="18" t="n">
        <f aca="false">B190-0.75</f>
        <v>3.75</v>
      </c>
      <c r="B190" s="24" t="n">
        <v>4.5</v>
      </c>
      <c r="C190" s="18" t="n">
        <v>25.4</v>
      </c>
      <c r="D190" s="18" t="n">
        <v>-88.7</v>
      </c>
      <c r="E190" s="18" t="n">
        <v>45</v>
      </c>
      <c r="F190" s="27" t="n">
        <f aca="false">E190*0.5144</f>
        <v>23.148</v>
      </c>
      <c r="G190" s="22" t="e">
        <f aca="false">arclethnm(C189,D189,C190,D190)/6</f>
        <v>#NAME?</v>
      </c>
      <c r="H190" s="22" t="e">
        <f aca="false">G190*0.5144</f>
        <v>#NAME?</v>
      </c>
      <c r="I190" s="0"/>
    </row>
    <row r="191" customFormat="false" ht="12.75" hidden="false" customHeight="false" outlineLevel="0" collapsed="false">
      <c r="A191" s="18" t="n">
        <f aca="false">B191-0.75</f>
        <v>4</v>
      </c>
      <c r="B191" s="24" t="n">
        <v>4.75</v>
      </c>
      <c r="C191" s="18" t="n">
        <v>25.7</v>
      </c>
      <c r="D191" s="18" t="n">
        <v>-89.3</v>
      </c>
      <c r="E191" s="18" t="n">
        <v>50</v>
      </c>
      <c r="F191" s="27" t="n">
        <f aca="false">E191*0.5144</f>
        <v>25.72</v>
      </c>
      <c r="G191" s="22" t="e">
        <f aca="false">arclethnm(C190,D190,C191,D191)/6</f>
        <v>#NAME?</v>
      </c>
      <c r="H191" s="22" t="e">
        <f aca="false">G191*0.5144</f>
        <v>#NAME?</v>
      </c>
      <c r="I191" s="0"/>
    </row>
    <row r="192" customFormat="false" ht="12.75" hidden="false" customHeight="false" outlineLevel="0" collapsed="false">
      <c r="A192" s="18" t="n">
        <f aca="false">B192-0.75</f>
        <v>4.25</v>
      </c>
      <c r="B192" s="24" t="n">
        <v>5</v>
      </c>
      <c r="C192" s="18" t="n">
        <v>26</v>
      </c>
      <c r="D192" s="18" t="n">
        <v>-89.8</v>
      </c>
      <c r="E192" s="18" t="n">
        <v>55</v>
      </c>
      <c r="F192" s="27" t="n">
        <f aca="false">E192*0.5144</f>
        <v>28.292</v>
      </c>
      <c r="G192" s="22" t="e">
        <f aca="false">arclethnm(C191,D191,C192,D192)/6</f>
        <v>#NAME?</v>
      </c>
      <c r="H192" s="22" t="e">
        <f aca="false">G192*0.5144</f>
        <v>#NAME?</v>
      </c>
      <c r="I192" s="0"/>
    </row>
    <row r="193" customFormat="false" ht="12.75" hidden="false" customHeight="false" outlineLevel="0" collapsed="false">
      <c r="A193" s="18" t="n">
        <f aca="false">B193-0.75</f>
        <v>4.5</v>
      </c>
      <c r="B193" s="24" t="n">
        <v>5.25</v>
      </c>
      <c r="C193" s="18" t="n">
        <v>26.3</v>
      </c>
      <c r="D193" s="18" t="n">
        <v>-90.2</v>
      </c>
      <c r="E193" s="18" t="n">
        <v>60</v>
      </c>
      <c r="F193" s="27" t="n">
        <f aca="false">E193*0.5144</f>
        <v>30.864</v>
      </c>
      <c r="G193" s="22" t="e">
        <f aca="false">arclethnm(C192,D192,C193,D193)/6</f>
        <v>#NAME?</v>
      </c>
      <c r="H193" s="22" t="e">
        <f aca="false">G193*0.5144</f>
        <v>#NAME?</v>
      </c>
      <c r="I193" s="0"/>
    </row>
    <row r="194" customFormat="false" ht="12.75" hidden="false" customHeight="false" outlineLevel="0" collapsed="false">
      <c r="A194" s="18" t="n">
        <f aca="false">B194-0.75</f>
        <v>4.75</v>
      </c>
      <c r="B194" s="24" t="n">
        <v>5.5</v>
      </c>
      <c r="C194" s="18" t="n">
        <v>26.5</v>
      </c>
      <c r="D194" s="18" t="n">
        <v>-90.6</v>
      </c>
      <c r="E194" s="18" t="n">
        <v>65</v>
      </c>
      <c r="F194" s="27" t="n">
        <f aca="false">E194*0.5144</f>
        <v>33.436</v>
      </c>
      <c r="G194" s="22" t="e">
        <f aca="false">arclethnm(C193,D193,C194,D194)/6</f>
        <v>#NAME?</v>
      </c>
      <c r="H194" s="22" t="e">
        <f aca="false">G194*0.5144</f>
        <v>#NAME?</v>
      </c>
      <c r="I194" s="0"/>
    </row>
    <row r="195" customFormat="false" ht="12.75" hidden="false" customHeight="false" outlineLevel="0" collapsed="false">
      <c r="A195" s="18" t="n">
        <f aca="false">B195-0.75</f>
        <v>4.83</v>
      </c>
      <c r="B195" s="24" t="n">
        <v>5.58</v>
      </c>
      <c r="C195" s="18" t="n">
        <v>26.9</v>
      </c>
      <c r="D195" s="18" t="n">
        <v>-91.2</v>
      </c>
      <c r="E195" s="18" t="n">
        <v>70</v>
      </c>
      <c r="F195" s="27" t="n">
        <f aca="false">E195*0.5144</f>
        <v>36.008</v>
      </c>
      <c r="G195" s="22" t="e">
        <f aca="false">arclethnm(C194,D194,C195,D195)/6</f>
        <v>#NAME?</v>
      </c>
      <c r="H195" s="22" t="e">
        <f aca="false">G195*0.5144</f>
        <v>#NAME?</v>
      </c>
      <c r="I195" s="0"/>
    </row>
    <row r="196" customFormat="false" ht="12.75" hidden="false" customHeight="false" outlineLevel="0" collapsed="false">
      <c r="A196" s="18" t="n">
        <f aca="false">B196-0.75</f>
        <v>5</v>
      </c>
      <c r="B196" s="24" t="n">
        <v>5.75</v>
      </c>
      <c r="C196" s="18" t="n">
        <v>27.2</v>
      </c>
      <c r="D196" s="18" t="n">
        <v>-91.7</v>
      </c>
      <c r="E196" s="18" t="n">
        <v>70</v>
      </c>
      <c r="F196" s="27" t="n">
        <f aca="false">E196*0.5144</f>
        <v>36.008</v>
      </c>
      <c r="G196" s="22" t="e">
        <f aca="false">arclethnm(C195,D195,C196,D196)/6</f>
        <v>#NAME?</v>
      </c>
      <c r="H196" s="22" t="e">
        <f aca="false">G196*0.5144</f>
        <v>#NAME?</v>
      </c>
      <c r="I196" s="0"/>
    </row>
    <row r="197" customFormat="false" ht="12.75" hidden="false" customHeight="false" outlineLevel="0" collapsed="false">
      <c r="A197" s="18" t="n">
        <f aca="false">B197-0.75</f>
        <v>5.25</v>
      </c>
      <c r="B197" s="24" t="n">
        <v>6</v>
      </c>
      <c r="C197" s="18" t="n">
        <v>27.5</v>
      </c>
      <c r="D197" s="18" t="n">
        <v>-92.1</v>
      </c>
      <c r="E197" s="18" t="n">
        <v>70</v>
      </c>
      <c r="F197" s="27" t="n">
        <f aca="false">E197*0.5144</f>
        <v>36.008</v>
      </c>
      <c r="G197" s="22" t="e">
        <f aca="false">arclethnm(C196,D196,C197,D197)/6</f>
        <v>#NAME?</v>
      </c>
      <c r="H197" s="22" t="e">
        <f aca="false">G197*0.5144</f>
        <v>#NAME?</v>
      </c>
      <c r="I197" s="0"/>
    </row>
    <row r="198" customFormat="false" ht="12.75" hidden="false" customHeight="false" outlineLevel="0" collapsed="false">
      <c r="A198" s="18" t="n">
        <f aca="false">B198-0.75</f>
        <v>5.5</v>
      </c>
      <c r="B198" s="24" t="n">
        <v>6.25</v>
      </c>
      <c r="C198" s="18" t="n">
        <v>27.8</v>
      </c>
      <c r="D198" s="18" t="n">
        <v>-92.5</v>
      </c>
      <c r="E198" s="18" t="n">
        <v>70</v>
      </c>
      <c r="F198" s="27" t="n">
        <f aca="false">E198*0.5144</f>
        <v>36.008</v>
      </c>
      <c r="G198" s="22" t="e">
        <f aca="false">arclethnm(C197,D197,C198,D198)/6</f>
        <v>#NAME?</v>
      </c>
      <c r="H198" s="22" t="e">
        <f aca="false">G198*0.5144</f>
        <v>#NAME?</v>
      </c>
      <c r="I198" s="0"/>
    </row>
    <row r="199" customFormat="false" ht="12.75" hidden="false" customHeight="false" outlineLevel="0" collapsed="false">
      <c r="A199" s="18" t="n">
        <f aca="false">B199-0.75</f>
        <v>5.75</v>
      </c>
      <c r="B199" s="24" t="n">
        <v>6.5</v>
      </c>
      <c r="C199" s="18" t="n">
        <v>28.1</v>
      </c>
      <c r="D199" s="18" t="n">
        <v>-93.1</v>
      </c>
      <c r="E199" s="18" t="n">
        <v>70</v>
      </c>
      <c r="F199" s="27" t="n">
        <f aca="false">E199*0.5144</f>
        <v>36.008</v>
      </c>
      <c r="G199" s="22" t="e">
        <f aca="false">arclethnm(C198,D198,C199,D199)/6</f>
        <v>#NAME?</v>
      </c>
      <c r="H199" s="22" t="e">
        <f aca="false">G199*0.5144</f>
        <v>#NAME?</v>
      </c>
      <c r="I199" s="0"/>
    </row>
    <row r="200" customFormat="false" ht="12.75" hidden="false" customHeight="false" outlineLevel="0" collapsed="false">
      <c r="A200" s="18" t="n">
        <f aca="false">B200-0.75</f>
        <v>6</v>
      </c>
      <c r="B200" s="24" t="n">
        <v>6.75</v>
      </c>
      <c r="C200" s="18" t="n">
        <v>28.4</v>
      </c>
      <c r="D200" s="18" t="n">
        <v>-93.6</v>
      </c>
      <c r="E200" s="18" t="n">
        <v>70</v>
      </c>
      <c r="F200" s="27" t="n">
        <f aca="false">E200*0.5144</f>
        <v>36.008</v>
      </c>
      <c r="G200" s="22" t="e">
        <f aca="false">arclethnm(C199,D199,C200,D200)/6</f>
        <v>#NAME?</v>
      </c>
      <c r="H200" s="22" t="e">
        <f aca="false">G200*0.5144</f>
        <v>#NAME?</v>
      </c>
      <c r="I200" s="0"/>
    </row>
    <row r="201" customFormat="false" ht="12.75" hidden="false" customHeight="false" outlineLevel="0" collapsed="false">
      <c r="A201" s="18" t="n">
        <f aca="false">B201-0.75</f>
        <v>6.25</v>
      </c>
      <c r="B201" s="24" t="n">
        <v>7</v>
      </c>
      <c r="C201" s="18" t="n">
        <v>28.7</v>
      </c>
      <c r="D201" s="18" t="n">
        <v>-93.9</v>
      </c>
      <c r="E201" s="18" t="n">
        <v>70</v>
      </c>
      <c r="F201" s="27" t="n">
        <f aca="false">E201*0.5144</f>
        <v>36.008</v>
      </c>
      <c r="G201" s="22" t="e">
        <f aca="false">arclethnm(C200,D200,C201,D201)/6</f>
        <v>#NAME?</v>
      </c>
      <c r="H201" s="22" t="e">
        <f aca="false">G201*0.5144</f>
        <v>#NAME?</v>
      </c>
      <c r="I201" s="0"/>
    </row>
    <row r="202" customFormat="false" ht="12.75" hidden="false" customHeight="false" outlineLevel="0" collapsed="false">
      <c r="A202" s="18" t="n">
        <f aca="false">B202-0.75</f>
        <v>6.5</v>
      </c>
      <c r="B202" s="24" t="n">
        <v>7.25</v>
      </c>
      <c r="C202" s="18" t="n">
        <v>29</v>
      </c>
      <c r="D202" s="18" t="n">
        <v>-94.3</v>
      </c>
      <c r="E202" s="18" t="n">
        <v>70</v>
      </c>
      <c r="F202" s="27" t="n">
        <f aca="false">E202*0.5144</f>
        <v>36.008</v>
      </c>
      <c r="G202" s="22" t="e">
        <f aca="false">arclethnm(C201,D201,C202,D202)/6</f>
        <v>#NAME?</v>
      </c>
      <c r="H202" s="22" t="e">
        <f aca="false">G202*0.5144</f>
        <v>#NAME?</v>
      </c>
      <c r="I202" s="0"/>
    </row>
    <row r="203" customFormat="false" ht="12.75" hidden="false" customHeight="false" outlineLevel="0" collapsed="false">
      <c r="A203" s="18" t="n">
        <f aca="false">B203-0.75</f>
        <v>6.75</v>
      </c>
      <c r="B203" s="24" t="n">
        <v>7.5</v>
      </c>
      <c r="C203" s="18" t="n">
        <v>29.2</v>
      </c>
      <c r="D203" s="18" t="n">
        <v>-94.8</v>
      </c>
      <c r="E203" s="18" t="n">
        <v>70</v>
      </c>
      <c r="F203" s="27" t="n">
        <f aca="false">E203*0.5144</f>
        <v>36.008</v>
      </c>
      <c r="G203" s="22" t="e">
        <f aca="false">arclethnm(C202,D202,C203,D203)/6</f>
        <v>#NAME?</v>
      </c>
      <c r="H203" s="22" t="e">
        <f aca="false">G203*0.5144</f>
        <v>#NAME?</v>
      </c>
      <c r="I203" s="0"/>
    </row>
    <row r="204" customFormat="false" ht="12.75" hidden="false" customHeight="false" outlineLevel="0" collapsed="false">
      <c r="A204" s="18" t="n">
        <f aca="false">B204-0.75</f>
        <v>7</v>
      </c>
      <c r="B204" s="24" t="n">
        <v>7.75</v>
      </c>
      <c r="C204" s="18" t="n">
        <v>29.5</v>
      </c>
      <c r="D204" s="18" t="n">
        <v>-95.3</v>
      </c>
      <c r="E204" s="18" t="n">
        <v>60</v>
      </c>
      <c r="F204" s="27" t="n">
        <f aca="false">E204*0.5144</f>
        <v>30.864</v>
      </c>
      <c r="G204" s="22" t="e">
        <f aca="false">arclethnm(C203,D203,C204,D204)/6</f>
        <v>#NAME?</v>
      </c>
      <c r="H204" s="22" t="e">
        <f aca="false">G204*0.5144</f>
        <v>#NAME?</v>
      </c>
      <c r="I204" s="0"/>
    </row>
    <row r="205" customFormat="false" ht="12.75" hidden="false" customHeight="false" outlineLevel="0" collapsed="false">
      <c r="A205" s="18" t="n">
        <f aca="false">B205-0.75</f>
        <v>7.17</v>
      </c>
      <c r="B205" s="24" t="n">
        <v>7.92</v>
      </c>
      <c r="C205" s="18" t="n">
        <v>29.8</v>
      </c>
      <c r="D205" s="18" t="n">
        <v>-95.8</v>
      </c>
      <c r="E205" s="18" t="n">
        <v>60</v>
      </c>
      <c r="F205" s="27" t="n">
        <f aca="false">E205*0.5144</f>
        <v>30.864</v>
      </c>
      <c r="G205" s="22" t="e">
        <f aca="false">arclethnm(C204,D204,C205,D205)/6</f>
        <v>#NAME?</v>
      </c>
      <c r="H205" s="22" t="e">
        <f aca="false">G205*0.5144</f>
        <v>#NAME?</v>
      </c>
      <c r="I205" s="0"/>
    </row>
    <row r="206" customFormat="false" ht="12.75" hidden="false" customHeight="false" outlineLevel="0" collapsed="false">
      <c r="A206" s="18" t="n">
        <f aca="false">B206-0.75</f>
        <v>7.25</v>
      </c>
      <c r="B206" s="24" t="n">
        <v>8</v>
      </c>
      <c r="C206" s="18" t="n">
        <v>30.2</v>
      </c>
      <c r="D206" s="18" t="n">
        <v>-96.2</v>
      </c>
      <c r="E206" s="18" t="n">
        <v>60</v>
      </c>
      <c r="F206" s="27" t="n">
        <f aca="false">E206*0.5144</f>
        <v>30.864</v>
      </c>
      <c r="G206" s="22" t="e">
        <f aca="false">arclethnm(C205,D205,C206,D206)/6</f>
        <v>#NAME?</v>
      </c>
      <c r="H206" s="22" t="e">
        <f aca="false">G206*0.5144</f>
        <v>#NAME?</v>
      </c>
      <c r="I206" s="0"/>
    </row>
    <row r="207" customFormat="false" ht="12.75" hidden="false" customHeight="false" outlineLevel="0" collapsed="false">
      <c r="A207" s="18" t="n">
        <f aca="false">B207-0.75</f>
        <v>7.5</v>
      </c>
      <c r="B207" s="24" t="n">
        <v>8.25</v>
      </c>
      <c r="C207" s="18" t="n">
        <v>30.5</v>
      </c>
      <c r="D207" s="18" t="n">
        <v>-96.6</v>
      </c>
      <c r="E207" s="18" t="n">
        <v>55</v>
      </c>
      <c r="F207" s="27" t="n">
        <f aca="false">E207*0.5144</f>
        <v>28.292</v>
      </c>
      <c r="G207" s="22" t="e">
        <f aca="false">arclethnm(C206,D206,C207,D207)/6</f>
        <v>#NAME?</v>
      </c>
      <c r="H207" s="22" t="e">
        <f aca="false">G207*0.5144</f>
        <v>#NAME?</v>
      </c>
      <c r="I207" s="0"/>
    </row>
    <row r="208" customFormat="false" ht="12.75" hidden="false" customHeight="false" outlineLevel="0" collapsed="false">
      <c r="A208" s="18" t="n">
        <f aca="false">B208-0.75</f>
        <v>7.75</v>
      </c>
      <c r="B208" s="24" t="n">
        <v>8.5</v>
      </c>
      <c r="C208" s="18" t="n">
        <v>30.8</v>
      </c>
      <c r="D208" s="18" t="n">
        <v>-97</v>
      </c>
      <c r="E208" s="18" t="n">
        <v>35</v>
      </c>
      <c r="F208" s="27" t="n">
        <f aca="false">E208*0.5144</f>
        <v>18.004</v>
      </c>
      <c r="G208" s="22" t="e">
        <f aca="false">arclethnm(C207,D207,C208,D208)/6</f>
        <v>#NAME?</v>
      </c>
      <c r="H208" s="22" t="e">
        <f aca="false">G208*0.5144</f>
        <v>#NAME?</v>
      </c>
      <c r="I208" s="0"/>
    </row>
    <row r="209" customFormat="false" ht="12.75" hidden="false" customHeight="false" outlineLevel="0" collapsed="false">
      <c r="A209" s="18" t="n">
        <f aca="false">B209-0.75</f>
        <v>8</v>
      </c>
      <c r="B209" s="24" t="n">
        <v>8.75</v>
      </c>
      <c r="C209" s="18" t="n">
        <v>31</v>
      </c>
      <c r="D209" s="18" t="n">
        <v>-97.3</v>
      </c>
      <c r="E209" s="18" t="n">
        <v>25</v>
      </c>
      <c r="F209" s="27" t="n">
        <f aca="false">E209*0.5144</f>
        <v>12.86</v>
      </c>
      <c r="G209" s="22" t="e">
        <f aca="false">arclethnm(C208,D208,C209,D209)/6</f>
        <v>#NAME?</v>
      </c>
      <c r="H209" s="22" t="e">
        <f aca="false">G209*0.5144</f>
        <v>#NAME?</v>
      </c>
      <c r="I209" s="0"/>
    </row>
    <row r="210" customFormat="false" ht="12.75" hidden="false" customHeight="false" outlineLevel="0" collapsed="false">
      <c r="A210" s="18" t="n">
        <f aca="false">B210-0.75</f>
        <v>8.25</v>
      </c>
      <c r="B210" s="24" t="n">
        <v>9</v>
      </c>
      <c r="C210" s="18" t="n">
        <v>31.4</v>
      </c>
      <c r="D210" s="18" t="n">
        <v>-97.5</v>
      </c>
      <c r="E210" s="18" t="n">
        <v>20</v>
      </c>
      <c r="F210" s="27" t="n">
        <f aca="false">E210*0.5144</f>
        <v>10.288</v>
      </c>
      <c r="G210" s="22" t="e">
        <f aca="false">arclethnm(C209,D209,C210,D210)/6</f>
        <v>#NAME?</v>
      </c>
      <c r="H210" s="22" t="e">
        <f aca="false">G210*0.5144</f>
        <v>#NAME?</v>
      </c>
      <c r="I210" s="0"/>
    </row>
    <row r="211" customFormat="false" ht="12.75" hidden="false" customHeight="false" outlineLevel="0" collapsed="false">
      <c r="A211" s="18" t="n">
        <f aca="false">B211-0.75</f>
        <v>8.5</v>
      </c>
      <c r="B211" s="24" t="n">
        <v>9.25</v>
      </c>
      <c r="C211" s="18" t="n">
        <v>31.8</v>
      </c>
      <c r="D211" s="18" t="n">
        <v>-97.7</v>
      </c>
      <c r="E211" s="18" t="n">
        <v>20</v>
      </c>
      <c r="F211" s="27" t="n">
        <f aca="false">E211*0.5144</f>
        <v>10.288</v>
      </c>
      <c r="G211" s="22" t="e">
        <f aca="false">arclethnm(C210,D210,C211,D211)/6</f>
        <v>#NAME?</v>
      </c>
      <c r="H211" s="22" t="e">
        <f aca="false">G211*0.5144</f>
        <v>#NAME?</v>
      </c>
      <c r="I211" s="0"/>
    </row>
    <row r="212" customFormat="false" ht="12.75" hidden="false" customHeight="false" outlineLevel="0" collapsed="false">
      <c r="A212" s="18" t="n">
        <f aca="false">B212-0.75</f>
        <v>8.75</v>
      </c>
      <c r="B212" s="24" t="n">
        <v>9.5</v>
      </c>
      <c r="C212" s="18" t="n">
        <v>32.3</v>
      </c>
      <c r="D212" s="18" t="n">
        <v>-97.8</v>
      </c>
      <c r="E212" s="18" t="n">
        <v>15</v>
      </c>
      <c r="F212" s="27" t="n">
        <f aca="false">E212*0.5144</f>
        <v>7.716</v>
      </c>
      <c r="G212" s="22" t="e">
        <f aca="false">arclethnm(C211,D211,C212,D212)/6</f>
        <v>#NAME?</v>
      </c>
      <c r="H212" s="22" t="e">
        <f aca="false">G212*0.5144</f>
        <v>#NAME?</v>
      </c>
      <c r="I212" s="0"/>
    </row>
    <row r="213" customFormat="false" ht="12.75" hidden="false" customHeight="false" outlineLevel="0" collapsed="false">
      <c r="A213" s="18" t="n">
        <f aca="false">B213-0.75</f>
        <v>9</v>
      </c>
      <c r="B213" s="24" t="n">
        <v>9.75</v>
      </c>
      <c r="C213" s="18" t="n">
        <v>33.3</v>
      </c>
      <c r="D213" s="18" t="n">
        <v>-97.9</v>
      </c>
      <c r="E213" s="18" t="n">
        <v>15</v>
      </c>
      <c r="F213" s="27" t="n">
        <f aca="false">E213*0.5144</f>
        <v>7.716</v>
      </c>
      <c r="G213" s="22" t="e">
        <f aca="false">arclethnm(C212,D212,C213,D213)/6</f>
        <v>#NAME?</v>
      </c>
      <c r="H213" s="22" t="e">
        <f aca="false">G213*0.5144</f>
        <v>#NAME?</v>
      </c>
      <c r="I213" s="0"/>
    </row>
    <row r="214" customFormat="false" ht="12.75" hidden="false" customHeight="false" outlineLevel="0" collapsed="false">
      <c r="A214" s="18" t="n">
        <f aca="false">B214-0.75</f>
        <v>9.25</v>
      </c>
      <c r="B214" s="24" t="n">
        <v>10</v>
      </c>
      <c r="C214" s="18" t="n">
        <v>34</v>
      </c>
      <c r="D214" s="18" t="n">
        <v>-97.9</v>
      </c>
      <c r="E214" s="18" t="n">
        <v>15</v>
      </c>
      <c r="F214" s="27" t="n">
        <f aca="false">E214*0.5144</f>
        <v>7.716</v>
      </c>
      <c r="G214" s="22" t="e">
        <f aca="false">arclethnm(C213,D213,C214,D214)/6</f>
        <v>#NAME?</v>
      </c>
      <c r="H214" s="22" t="e">
        <f aca="false">G214*0.5144</f>
        <v>#NAME?</v>
      </c>
      <c r="I214" s="0"/>
    </row>
    <row r="215" customFormat="false" ht="12.75" hidden="false" customHeight="false" outlineLevel="0" collapsed="false">
      <c r="A215" s="18" t="n">
        <f aca="false">B215-0.75</f>
        <v>9.5</v>
      </c>
      <c r="B215" s="24" t="n">
        <v>10.25</v>
      </c>
      <c r="C215" s="18" t="n">
        <v>35</v>
      </c>
      <c r="D215" s="18" t="n">
        <v>-97.9</v>
      </c>
      <c r="E215" s="18" t="n">
        <v>15</v>
      </c>
      <c r="F215" s="27" t="n">
        <f aca="false">E215*0.5144</f>
        <v>7.716</v>
      </c>
      <c r="G215" s="22" t="e">
        <f aca="false">arclethnm(C214,D214,C215,D215)/6</f>
        <v>#NAME?</v>
      </c>
      <c r="H215" s="22" t="e">
        <f aca="false">G215*0.5144</f>
        <v>#NAME?</v>
      </c>
      <c r="I215" s="0"/>
    </row>
    <row r="216" customFormat="false" ht="12.75" hidden="false" customHeight="false" outlineLevel="0" collapsed="false">
      <c r="A216" s="18" t="n">
        <f aca="false">B216-0.75</f>
        <v>9.75</v>
      </c>
      <c r="B216" s="24" t="n">
        <v>10.5</v>
      </c>
      <c r="C216" s="0"/>
      <c r="D216" s="0"/>
      <c r="E216" s="0"/>
      <c r="F216" s="27"/>
      <c r="G216" s="0"/>
      <c r="H216" s="0"/>
      <c r="I216" s="24"/>
    </row>
    <row r="217" customFormat="false" ht="12.75" hidden="false" customHeight="false" outlineLevel="0" collapsed="false">
      <c r="A217" s="30"/>
      <c r="B217" s="30"/>
      <c r="C217" s="0"/>
      <c r="D217" s="0"/>
      <c r="E217" s="0"/>
      <c r="F217" s="27"/>
      <c r="G217" s="0"/>
      <c r="H217" s="0"/>
      <c r="I217" s="24"/>
    </row>
    <row r="218" customFormat="false" ht="12.75" hidden="false" customHeight="false" outlineLevel="0" collapsed="false">
      <c r="A218" s="30"/>
      <c r="B218" s="31" t="s">
        <v>146</v>
      </c>
      <c r="C218" s="28" t="s">
        <v>18</v>
      </c>
      <c r="D218" s="0"/>
      <c r="E218" s="0"/>
      <c r="F218" s="27"/>
      <c r="G218" s="0"/>
      <c r="H218" s="0"/>
      <c r="I218" s="24"/>
    </row>
    <row r="219" customFormat="false" ht="12.75" hidden="false" customHeight="false" outlineLevel="0" collapsed="false">
      <c r="A219" s="32" t="n">
        <f aca="false">B219-0.25</f>
        <v>1</v>
      </c>
      <c r="B219" s="32" t="n">
        <v>1.25</v>
      </c>
      <c r="C219" s="18" t="n">
        <v>12.5</v>
      </c>
      <c r="D219" s="18" t="n">
        <v>-89.5</v>
      </c>
      <c r="E219" s="18" t="n">
        <v>35</v>
      </c>
      <c r="F219" s="27" t="n">
        <f aca="false">E219*0.5144</f>
        <v>18.004</v>
      </c>
      <c r="G219" s="0"/>
      <c r="H219" s="0"/>
    </row>
    <row r="220" customFormat="false" ht="12.75" hidden="false" customHeight="false" outlineLevel="0" collapsed="false">
      <c r="A220" s="32" t="n">
        <f aca="false">B220-0.25</f>
        <v>1.25</v>
      </c>
      <c r="B220" s="30" t="n">
        <v>1.5</v>
      </c>
      <c r="C220" s="18" t="n">
        <v>13.3</v>
      </c>
      <c r="D220" s="18" t="n">
        <v>-90.1</v>
      </c>
      <c r="E220" s="18" t="n">
        <v>35</v>
      </c>
      <c r="F220" s="27" t="n">
        <f aca="false">E220*0.5144</f>
        <v>18.004</v>
      </c>
      <c r="G220" s="22" t="e">
        <f aca="false">arclethnm(C219,D219,C220,D220)/6</f>
        <v>#NAME?</v>
      </c>
      <c r="H220" s="22" t="e">
        <f aca="false">G220*0.5144</f>
        <v>#NAME?</v>
      </c>
    </row>
    <row r="221" customFormat="false" ht="12.75" hidden="false" customHeight="false" outlineLevel="0" collapsed="false">
      <c r="A221" s="32" t="n">
        <f aca="false">B221-0.25</f>
        <v>1.5</v>
      </c>
      <c r="B221" s="30" t="n">
        <v>1.75</v>
      </c>
      <c r="C221" s="18" t="n">
        <v>13.4</v>
      </c>
      <c r="D221" s="18" t="n">
        <v>-90.2</v>
      </c>
      <c r="E221" s="18" t="n">
        <v>35</v>
      </c>
      <c r="F221" s="27" t="n">
        <f aca="false">E221*0.5144</f>
        <v>18.004</v>
      </c>
      <c r="G221" s="22" t="e">
        <f aca="false">arclethnm(C220,D220,C221,D221)/6</f>
        <v>#NAME?</v>
      </c>
      <c r="H221" s="22" t="e">
        <f aca="false">G221*0.5144</f>
        <v>#NAME?</v>
      </c>
    </row>
    <row r="222" customFormat="false" ht="12.75" hidden="false" customHeight="false" outlineLevel="0" collapsed="false">
      <c r="A222" s="32" t="n">
        <f aca="false">B222-0.25</f>
        <v>1.75</v>
      </c>
      <c r="B222" s="32" t="n">
        <v>2</v>
      </c>
      <c r="C222" s="18" t="n">
        <v>13.5</v>
      </c>
      <c r="D222" s="18" t="n">
        <v>-90.2</v>
      </c>
      <c r="E222" s="18" t="n">
        <v>35</v>
      </c>
      <c r="F222" s="27" t="n">
        <f aca="false">E222*0.5144</f>
        <v>18.004</v>
      </c>
      <c r="G222" s="22" t="e">
        <f aca="false">arclethnm(C221,D221,C222,D222)/6</f>
        <v>#NAME?</v>
      </c>
      <c r="H222" s="22" t="e">
        <f aca="false">G222*0.5144</f>
        <v>#NAME?</v>
      </c>
    </row>
    <row r="223" customFormat="false" ht="12.75" hidden="false" customHeight="false" outlineLevel="0" collapsed="false">
      <c r="A223" s="32" t="n">
        <f aca="false">B223-0.25</f>
        <v>2</v>
      </c>
      <c r="B223" s="32" t="n">
        <v>2.25</v>
      </c>
      <c r="C223" s="18" t="n">
        <v>13.7</v>
      </c>
      <c r="D223" s="18" t="n">
        <v>-90.2</v>
      </c>
      <c r="E223" s="18" t="n">
        <v>35</v>
      </c>
      <c r="F223" s="27" t="n">
        <f aca="false">E223*0.5144</f>
        <v>18.004</v>
      </c>
      <c r="G223" s="22" t="e">
        <f aca="false">arclethnm(C222,D222,C223,D223)/6</f>
        <v>#NAME?</v>
      </c>
      <c r="H223" s="22" t="e">
        <f aca="false">G223*0.5144</f>
        <v>#NAME?</v>
      </c>
    </row>
    <row r="224" customFormat="false" ht="12.75" hidden="false" customHeight="false" outlineLevel="0" collapsed="false">
      <c r="A224" s="32" t="n">
        <f aca="false">B224-0.25</f>
        <v>2.25</v>
      </c>
      <c r="B224" s="30" t="n">
        <v>2.5</v>
      </c>
      <c r="C224" s="18" t="n">
        <v>14</v>
      </c>
      <c r="D224" s="18" t="n">
        <v>-90.2</v>
      </c>
      <c r="E224" s="18" t="n">
        <v>35</v>
      </c>
      <c r="F224" s="27" t="n">
        <f aca="false">E224*0.5144</f>
        <v>18.004</v>
      </c>
      <c r="G224" s="22" t="e">
        <f aca="false">arclethnm(C223,D223,C224,D224)/6</f>
        <v>#NAME?</v>
      </c>
      <c r="H224" s="22" t="e">
        <f aca="false">G224*0.5144</f>
        <v>#NAME?</v>
      </c>
    </row>
    <row r="225" customFormat="false" ht="12.75" hidden="false" customHeight="false" outlineLevel="0" collapsed="false">
      <c r="A225" s="32" t="n">
        <f aca="false">B225-0.25</f>
        <v>2.5</v>
      </c>
      <c r="B225" s="30" t="n">
        <v>2.75</v>
      </c>
      <c r="C225" s="18" t="n">
        <v>14.2</v>
      </c>
      <c r="D225" s="18" t="n">
        <v>-90.3</v>
      </c>
      <c r="E225" s="18" t="n">
        <v>35</v>
      </c>
      <c r="F225" s="27" t="n">
        <f aca="false">E225*0.5144</f>
        <v>18.004</v>
      </c>
      <c r="G225" s="22" t="e">
        <f aca="false">arclethnm(C224,D224,C225,D225)/6</f>
        <v>#NAME?</v>
      </c>
      <c r="H225" s="22" t="e">
        <f aca="false">G225*0.5144</f>
        <v>#NAME?</v>
      </c>
    </row>
    <row r="226" customFormat="false" ht="12.75" hidden="false" customHeight="false" outlineLevel="0" collapsed="false">
      <c r="A226" s="32" t="n">
        <f aca="false">B226-0.25</f>
        <v>2.75</v>
      </c>
      <c r="B226" s="32" t="n">
        <v>3</v>
      </c>
      <c r="C226" s="18" t="n">
        <v>14.4</v>
      </c>
      <c r="D226" s="18" t="n">
        <v>-90.5</v>
      </c>
      <c r="E226" s="18" t="n">
        <v>35</v>
      </c>
      <c r="F226" s="27" t="n">
        <f aca="false">E226*0.5144</f>
        <v>18.004</v>
      </c>
      <c r="G226" s="22" t="e">
        <f aca="false">arclethnm(C225,D225,C226,D226)/6</f>
        <v>#NAME?</v>
      </c>
      <c r="H226" s="22" t="e">
        <f aca="false">G226*0.5144</f>
        <v>#NAME?</v>
      </c>
    </row>
    <row r="227" customFormat="false" ht="12.75" hidden="false" customHeight="false" outlineLevel="0" collapsed="false">
      <c r="A227" s="32" t="n">
        <f aca="false">B227-0.25</f>
        <v>3</v>
      </c>
      <c r="B227" s="32" t="n">
        <v>3.25</v>
      </c>
      <c r="C227" s="18" t="n">
        <v>14.6</v>
      </c>
      <c r="D227" s="18" t="n">
        <v>-90.7</v>
      </c>
      <c r="E227" s="18" t="n">
        <v>35</v>
      </c>
      <c r="F227" s="27" t="n">
        <f aca="false">E227*0.5144</f>
        <v>18.004</v>
      </c>
      <c r="G227" s="22" t="e">
        <f aca="false">arclethnm(C226,D226,C227,D227)/6</f>
        <v>#NAME?</v>
      </c>
      <c r="H227" s="22" t="e">
        <f aca="false">G227*0.5144</f>
        <v>#NAME?</v>
      </c>
    </row>
    <row r="228" customFormat="false" ht="12.75" hidden="false" customHeight="false" outlineLevel="0" collapsed="false">
      <c r="A228" s="32" t="n">
        <f aca="false">B228-0.25</f>
        <v>3.25</v>
      </c>
      <c r="B228" s="30" t="n">
        <v>3.5</v>
      </c>
      <c r="C228" s="18" t="n">
        <v>15</v>
      </c>
      <c r="D228" s="18" t="n">
        <v>-91.1</v>
      </c>
      <c r="E228" s="18" t="n">
        <v>35</v>
      </c>
      <c r="F228" s="27" t="n">
        <f aca="false">E228*0.5144</f>
        <v>18.004</v>
      </c>
      <c r="G228" s="22" t="e">
        <f aca="false">arclethnm(C227,D227,C228,D228)/6</f>
        <v>#NAME?</v>
      </c>
      <c r="H228" s="22" t="e">
        <f aca="false">G228*0.5144</f>
        <v>#NAME?</v>
      </c>
    </row>
    <row r="229" customFormat="false" ht="12.75" hidden="false" customHeight="false" outlineLevel="0" collapsed="false">
      <c r="A229" s="32" t="n">
        <f aca="false">B229-0.25</f>
        <v>3.5</v>
      </c>
      <c r="B229" s="30" t="n">
        <v>3.75</v>
      </c>
      <c r="C229" s="18" t="n">
        <v>15.6</v>
      </c>
      <c r="D229" s="18" t="n">
        <v>-90.9</v>
      </c>
      <c r="E229" s="18" t="n">
        <v>35</v>
      </c>
      <c r="F229" s="27" t="n">
        <f aca="false">E229*0.5144</f>
        <v>18.004</v>
      </c>
      <c r="G229" s="22" t="e">
        <f aca="false">arclethnm(C228,D228,C229,D229)/6</f>
        <v>#NAME?</v>
      </c>
      <c r="H229" s="22" t="e">
        <f aca="false">G229*0.5144</f>
        <v>#NAME?</v>
      </c>
    </row>
    <row r="230" customFormat="false" ht="12.75" hidden="false" customHeight="false" outlineLevel="0" collapsed="false">
      <c r="A230" s="32" t="n">
        <f aca="false">B230-0.25</f>
        <v>3.75</v>
      </c>
      <c r="B230" s="32" t="n">
        <v>4</v>
      </c>
      <c r="C230" s="18" t="n">
        <v>16.3</v>
      </c>
      <c r="D230" s="18" t="n">
        <v>-90.9</v>
      </c>
      <c r="E230" s="18" t="n">
        <v>35</v>
      </c>
      <c r="F230" s="27" t="n">
        <f aca="false">E230*0.5144</f>
        <v>18.004</v>
      </c>
      <c r="G230" s="22" t="e">
        <f aca="false">arclethnm(C229,D229,C230,D230)/6</f>
        <v>#NAME?</v>
      </c>
      <c r="H230" s="22" t="e">
        <f aca="false">G230*0.5144</f>
        <v>#NAME?</v>
      </c>
    </row>
    <row r="231" customFormat="false" ht="12.75" hidden="false" customHeight="false" outlineLevel="0" collapsed="false">
      <c r="A231" s="32" t="n">
        <f aca="false">B231-0.25</f>
        <v>4</v>
      </c>
      <c r="B231" s="32" t="n">
        <v>4.25</v>
      </c>
      <c r="C231" s="18" t="n">
        <v>16.8</v>
      </c>
      <c r="D231" s="18" t="n">
        <v>-90.8</v>
      </c>
      <c r="E231" s="18" t="n">
        <v>35</v>
      </c>
      <c r="F231" s="27" t="n">
        <f aca="false">E231*0.5144</f>
        <v>18.004</v>
      </c>
      <c r="G231" s="22" t="e">
        <f aca="false">arclethnm(C230,D230,C231,D231)/6</f>
        <v>#NAME?</v>
      </c>
      <c r="H231" s="22" t="e">
        <f aca="false">G231*0.5144</f>
        <v>#NAME?</v>
      </c>
    </row>
    <row r="232" customFormat="false" ht="12.75" hidden="false" customHeight="false" outlineLevel="0" collapsed="false">
      <c r="A232" s="32" t="n">
        <f aca="false">B232-0.25</f>
        <v>4.25</v>
      </c>
      <c r="B232" s="30" t="n">
        <v>4.5</v>
      </c>
      <c r="C232" s="18" t="n">
        <v>17.3</v>
      </c>
      <c r="D232" s="18" t="n">
        <v>-90.6</v>
      </c>
      <c r="E232" s="18" t="n">
        <v>40</v>
      </c>
      <c r="F232" s="27" t="n">
        <f aca="false">E232*0.5144</f>
        <v>20.576</v>
      </c>
      <c r="G232" s="22" t="e">
        <f aca="false">arclethnm(C231,D231,C232,D232)/6</f>
        <v>#NAME?</v>
      </c>
      <c r="H232" s="22" t="e">
        <f aca="false">G232*0.5144</f>
        <v>#NAME?</v>
      </c>
    </row>
    <row r="233" customFormat="false" ht="12.75" hidden="false" customHeight="false" outlineLevel="0" collapsed="false">
      <c r="A233" s="32" t="n">
        <f aca="false">B233-0.25</f>
        <v>4.5</v>
      </c>
      <c r="B233" s="30" t="n">
        <v>4.75</v>
      </c>
      <c r="C233" s="18" t="n">
        <v>17.9</v>
      </c>
      <c r="D233" s="18" t="n">
        <v>-90.5</v>
      </c>
      <c r="E233" s="18" t="n">
        <v>40</v>
      </c>
      <c r="F233" s="27" t="n">
        <f aca="false">E233*0.5144</f>
        <v>20.576</v>
      </c>
      <c r="G233" s="22" t="e">
        <f aca="false">arclethnm(C232,D232,C233,D233)/6</f>
        <v>#NAME?</v>
      </c>
      <c r="H233" s="22" t="e">
        <f aca="false">G233*0.5144</f>
        <v>#NAME?</v>
      </c>
    </row>
    <row r="234" customFormat="false" ht="12.75" hidden="false" customHeight="false" outlineLevel="0" collapsed="false">
      <c r="A234" s="32" t="n">
        <f aca="false">B234-0.25</f>
        <v>4.75</v>
      </c>
      <c r="B234" s="32" t="n">
        <v>5</v>
      </c>
      <c r="C234" s="18" t="n">
        <v>18.5</v>
      </c>
      <c r="D234" s="18" t="n">
        <v>-90.5</v>
      </c>
      <c r="E234" s="18" t="n">
        <v>40</v>
      </c>
      <c r="F234" s="27" t="n">
        <f aca="false">E234*0.5144</f>
        <v>20.576</v>
      </c>
      <c r="G234" s="22" t="e">
        <f aca="false">arclethnm(C233,D233,C234,D234)/6</f>
        <v>#NAME?</v>
      </c>
      <c r="H234" s="22" t="e">
        <f aca="false">G234*0.5144</f>
        <v>#NAME?</v>
      </c>
    </row>
    <row r="235" customFormat="false" ht="12.75" hidden="false" customHeight="false" outlineLevel="0" collapsed="false">
      <c r="A235" s="32" t="n">
        <f aca="false">B235-0.25</f>
        <v>5</v>
      </c>
      <c r="B235" s="32" t="n">
        <v>5.25</v>
      </c>
      <c r="C235" s="18" t="n">
        <v>18.8</v>
      </c>
      <c r="D235" s="18" t="n">
        <v>-90.7</v>
      </c>
      <c r="E235" s="18" t="n">
        <v>45</v>
      </c>
      <c r="F235" s="27" t="n">
        <f aca="false">E235*0.5144</f>
        <v>23.148</v>
      </c>
      <c r="G235" s="22" t="e">
        <f aca="false">arclethnm(C234,D234,C235,D235)/6</f>
        <v>#NAME?</v>
      </c>
      <c r="H235" s="22" t="e">
        <f aca="false">G235*0.5144</f>
        <v>#NAME?</v>
      </c>
    </row>
    <row r="236" customFormat="false" ht="12.75" hidden="false" customHeight="false" outlineLevel="0" collapsed="false">
      <c r="A236" s="32" t="n">
        <f aca="false">B236-0.25</f>
        <v>5.25</v>
      </c>
      <c r="B236" s="30" t="n">
        <v>5.5</v>
      </c>
      <c r="C236" s="18" t="n">
        <v>19.1</v>
      </c>
      <c r="D236" s="18" t="n">
        <v>-91.2</v>
      </c>
      <c r="E236" s="18" t="n">
        <v>45</v>
      </c>
      <c r="F236" s="27" t="n">
        <f aca="false">E236*0.5144</f>
        <v>23.148</v>
      </c>
      <c r="G236" s="22" t="e">
        <f aca="false">arclethnm(C235,D235,C236,D236)/6</f>
        <v>#NAME?</v>
      </c>
      <c r="H236" s="22" t="e">
        <f aca="false">G236*0.5144</f>
        <v>#NAME?</v>
      </c>
    </row>
    <row r="237" customFormat="false" ht="12.75" hidden="false" customHeight="false" outlineLevel="0" collapsed="false">
      <c r="A237" s="32" t="n">
        <f aca="false">B237-0.25</f>
        <v>5.5</v>
      </c>
      <c r="B237" s="30" t="n">
        <v>5.75</v>
      </c>
      <c r="C237" s="18" t="n">
        <v>19.5</v>
      </c>
      <c r="D237" s="18" t="n">
        <v>-91.8</v>
      </c>
      <c r="E237" s="18" t="n">
        <v>50</v>
      </c>
      <c r="F237" s="27" t="n">
        <f aca="false">E237*0.5144</f>
        <v>25.72</v>
      </c>
      <c r="G237" s="22" t="e">
        <f aca="false">arclethnm(C236,D236,C237,D237)/6</f>
        <v>#NAME?</v>
      </c>
      <c r="H237" s="22" t="e">
        <f aca="false">G237*0.5144</f>
        <v>#NAME?</v>
      </c>
    </row>
    <row r="238" customFormat="false" ht="12.75" hidden="false" customHeight="false" outlineLevel="0" collapsed="false">
      <c r="A238" s="32" t="n">
        <f aca="false">B238-0.25</f>
        <v>5.75</v>
      </c>
      <c r="B238" s="32" t="n">
        <v>6</v>
      </c>
      <c r="C238" s="18" t="n">
        <v>20</v>
      </c>
      <c r="D238" s="18" t="n">
        <v>-92.5</v>
      </c>
      <c r="E238" s="18" t="n">
        <v>50</v>
      </c>
      <c r="F238" s="27" t="n">
        <f aca="false">E238*0.5144</f>
        <v>25.72</v>
      </c>
      <c r="G238" s="22" t="e">
        <f aca="false">arclethnm(C237,D237,C238,D238)/6</f>
        <v>#NAME?</v>
      </c>
      <c r="H238" s="22" t="e">
        <f aca="false">G238*0.5144</f>
        <v>#NAME?</v>
      </c>
    </row>
    <row r="239" customFormat="false" ht="12.75" hidden="false" customHeight="false" outlineLevel="0" collapsed="false">
      <c r="A239" s="32" t="n">
        <f aca="false">B239-0.25</f>
        <v>6</v>
      </c>
      <c r="B239" s="32" t="n">
        <v>6.25</v>
      </c>
      <c r="C239" s="18" t="n">
        <v>20.6</v>
      </c>
      <c r="D239" s="18" t="n">
        <v>-93.2</v>
      </c>
      <c r="E239" s="18" t="n">
        <v>55</v>
      </c>
      <c r="F239" s="27" t="n">
        <f aca="false">E239*0.5144</f>
        <v>28.292</v>
      </c>
      <c r="G239" s="22" t="e">
        <f aca="false">arclethnm(C238,D238,C239,D239)/6</f>
        <v>#NAME?</v>
      </c>
      <c r="H239" s="22" t="e">
        <f aca="false">G239*0.5144</f>
        <v>#NAME?</v>
      </c>
    </row>
    <row r="240" customFormat="false" ht="12.75" hidden="false" customHeight="false" outlineLevel="0" collapsed="false">
      <c r="A240" s="32" t="n">
        <f aca="false">B240-0.25</f>
        <v>6.25</v>
      </c>
      <c r="B240" s="30" t="n">
        <v>6.5</v>
      </c>
      <c r="C240" s="18" t="n">
        <v>21.3</v>
      </c>
      <c r="D240" s="18" t="n">
        <v>-93.8</v>
      </c>
      <c r="E240" s="18" t="n">
        <v>60</v>
      </c>
      <c r="F240" s="27" t="n">
        <f aca="false">E240*0.5144</f>
        <v>30.864</v>
      </c>
      <c r="G240" s="22" t="e">
        <f aca="false">arclethnm(C239,D239,C240,D240)/6</f>
        <v>#NAME?</v>
      </c>
      <c r="H240" s="22" t="e">
        <f aca="false">G240*0.5144</f>
        <v>#NAME?</v>
      </c>
    </row>
    <row r="241" customFormat="false" ht="12.75" hidden="false" customHeight="false" outlineLevel="0" collapsed="false">
      <c r="A241" s="32" t="n">
        <f aca="false">B241-0.25</f>
        <v>6.5</v>
      </c>
      <c r="B241" s="30" t="n">
        <v>6.75</v>
      </c>
      <c r="C241" s="18" t="n">
        <v>22</v>
      </c>
      <c r="D241" s="18" t="n">
        <v>-94.3</v>
      </c>
      <c r="E241" s="18" t="n">
        <v>65</v>
      </c>
      <c r="F241" s="27" t="n">
        <f aca="false">E241*0.5144</f>
        <v>33.436</v>
      </c>
      <c r="G241" s="22" t="e">
        <f aca="false">arclethnm(C240,D240,C241,D241)/6</f>
        <v>#NAME?</v>
      </c>
      <c r="H241" s="22" t="e">
        <f aca="false">G241*0.5144</f>
        <v>#NAME?</v>
      </c>
    </row>
    <row r="242" customFormat="false" ht="12.75" hidden="false" customHeight="false" outlineLevel="0" collapsed="false">
      <c r="A242" s="32" t="n">
        <f aca="false">B242-0.25</f>
        <v>6.75</v>
      </c>
      <c r="B242" s="32" t="n">
        <v>7</v>
      </c>
      <c r="C242" s="18" t="n">
        <v>22.7</v>
      </c>
      <c r="D242" s="18" t="n">
        <v>-94.6</v>
      </c>
      <c r="E242" s="18" t="n">
        <v>75</v>
      </c>
      <c r="F242" s="27" t="n">
        <f aca="false">E242*0.5144</f>
        <v>38.58</v>
      </c>
      <c r="G242" s="22" t="e">
        <f aca="false">arclethnm(C241,D241,C242,D242)/6</f>
        <v>#NAME?</v>
      </c>
      <c r="H242" s="22" t="e">
        <f aca="false">G242*0.5144</f>
        <v>#NAME?</v>
      </c>
    </row>
    <row r="243" customFormat="false" ht="12.75" hidden="false" customHeight="false" outlineLevel="0" collapsed="false">
      <c r="A243" s="32" t="n">
        <f aca="false">B243-0.25</f>
        <v>7</v>
      </c>
      <c r="B243" s="32" t="n">
        <v>7.25</v>
      </c>
      <c r="C243" s="18" t="n">
        <v>23.5</v>
      </c>
      <c r="D243" s="18" t="n">
        <v>-94.9</v>
      </c>
      <c r="E243" s="18" t="n">
        <v>85</v>
      </c>
      <c r="F243" s="27" t="n">
        <f aca="false">E243*0.5144</f>
        <v>43.724</v>
      </c>
      <c r="G243" s="22" t="e">
        <f aca="false">arclethnm(C242,D242,C243,D243)/6</f>
        <v>#NAME?</v>
      </c>
      <c r="H243" s="22" t="e">
        <f aca="false">G243*0.5144</f>
        <v>#NAME?</v>
      </c>
    </row>
    <row r="244" customFormat="false" ht="12.75" hidden="false" customHeight="false" outlineLevel="0" collapsed="false">
      <c r="A244" s="32" t="n">
        <f aca="false">B244-0.25</f>
        <v>7.25</v>
      </c>
      <c r="B244" s="30" t="n">
        <v>7.5</v>
      </c>
      <c r="C244" s="18" t="n">
        <v>24.5</v>
      </c>
      <c r="D244" s="18" t="n">
        <v>-95.2</v>
      </c>
      <c r="E244" s="18" t="n">
        <v>95</v>
      </c>
      <c r="F244" s="27" t="n">
        <f aca="false">E244*0.5144</f>
        <v>48.868</v>
      </c>
      <c r="G244" s="22" t="e">
        <f aca="false">arclethnm(C243,D243,C244,D244)/6</f>
        <v>#NAME?</v>
      </c>
      <c r="H244" s="22" t="e">
        <f aca="false">G244*0.5144</f>
        <v>#NAME?</v>
      </c>
    </row>
    <row r="245" customFormat="false" ht="12.75" hidden="false" customHeight="false" outlineLevel="0" collapsed="false">
      <c r="A245" s="32" t="n">
        <f aca="false">B245-0.25</f>
        <v>7.5</v>
      </c>
      <c r="B245" s="30" t="n">
        <v>7.75</v>
      </c>
      <c r="C245" s="18" t="n">
        <v>26</v>
      </c>
      <c r="D245" s="18" t="n">
        <v>-95.5</v>
      </c>
      <c r="E245" s="18" t="n">
        <v>100</v>
      </c>
      <c r="F245" s="27" t="n">
        <f aca="false">E245*0.5144</f>
        <v>51.44</v>
      </c>
      <c r="G245" s="22" t="e">
        <f aca="false">arclethnm(C244,D244,C245,D245)/6</f>
        <v>#NAME?</v>
      </c>
      <c r="H245" s="22" t="e">
        <f aca="false">G245*0.5144</f>
        <v>#NAME?</v>
      </c>
    </row>
    <row r="246" customFormat="false" ht="12.75" hidden="false" customHeight="false" outlineLevel="0" collapsed="false">
      <c r="A246" s="32" t="n">
        <f aca="false">B246-0.25</f>
        <v>7.75</v>
      </c>
      <c r="B246" s="32" t="n">
        <v>8</v>
      </c>
      <c r="C246" s="18" t="n">
        <v>27.6</v>
      </c>
      <c r="D246" s="18" t="n">
        <v>-95.6</v>
      </c>
      <c r="E246" s="18" t="n">
        <v>110</v>
      </c>
      <c r="F246" s="27" t="n">
        <f aca="false">E246*0.5144</f>
        <v>56.584</v>
      </c>
      <c r="G246" s="22" t="e">
        <f aca="false">arclethnm(C245,D245,C246,D246)/6</f>
        <v>#NAME?</v>
      </c>
      <c r="H246" s="22" t="e">
        <f aca="false">G246*0.5144</f>
        <v>#NAME?</v>
      </c>
    </row>
    <row r="247" customFormat="false" ht="12.75" hidden="false" customHeight="false" outlineLevel="0" collapsed="false">
      <c r="A247" s="32" t="n">
        <f aca="false">B247-0.25</f>
        <v>7.96</v>
      </c>
      <c r="B247" s="32" t="n">
        <v>8.21</v>
      </c>
      <c r="C247" s="18" t="n">
        <v>29.1</v>
      </c>
      <c r="D247" s="18" t="n">
        <v>-95.4</v>
      </c>
      <c r="E247" s="18" t="n">
        <v>115</v>
      </c>
      <c r="F247" s="27" t="n">
        <f aca="false">E247*0.5144</f>
        <v>59.156</v>
      </c>
      <c r="G247" s="22" t="e">
        <f aca="false">arclethnm(C246,D246,C247,D247)/6</f>
        <v>#NAME?</v>
      </c>
      <c r="H247" s="22" t="e">
        <f aca="false">G247*0.5144</f>
        <v>#NAME?</v>
      </c>
    </row>
    <row r="248" customFormat="false" ht="12.75" hidden="false" customHeight="false" outlineLevel="0" collapsed="false">
      <c r="A248" s="32" t="n">
        <f aca="false">B248-0.25</f>
        <v>8</v>
      </c>
      <c r="B248" s="30" t="n">
        <v>8.25</v>
      </c>
      <c r="C248" s="18" t="n">
        <v>30.3</v>
      </c>
      <c r="D248" s="18" t="n">
        <v>-95</v>
      </c>
      <c r="E248" s="18" t="n">
        <v>60</v>
      </c>
      <c r="F248" s="27" t="n">
        <f aca="false">E248*0.5144</f>
        <v>30.864</v>
      </c>
      <c r="G248" s="22" t="e">
        <f aca="false">arclethnm(C247,D247,C248,D248)/6</f>
        <v>#NAME?</v>
      </c>
      <c r="H248" s="22" t="e">
        <f aca="false">G248*0.5144</f>
        <v>#NAME?</v>
      </c>
    </row>
    <row r="249" customFormat="false" ht="12.75" hidden="false" customHeight="false" outlineLevel="0" collapsed="false">
      <c r="A249" s="32" t="n">
        <f aca="false">B249-0.25</f>
        <v>8.25</v>
      </c>
      <c r="B249" s="30" t="n">
        <v>8.5</v>
      </c>
      <c r="C249" s="18" t="n">
        <v>31</v>
      </c>
      <c r="D249" s="18" t="n">
        <v>-94.6</v>
      </c>
      <c r="E249" s="18" t="n">
        <v>55</v>
      </c>
      <c r="F249" s="27" t="n">
        <f aca="false">E249*0.5144</f>
        <v>28.292</v>
      </c>
      <c r="G249" s="22" t="e">
        <f aca="false">arclethnm(C248,D248,C249,D249)/6</f>
        <v>#NAME?</v>
      </c>
      <c r="H249" s="22" t="e">
        <f aca="false">G249*0.5144</f>
        <v>#NAME?</v>
      </c>
    </row>
    <row r="250" customFormat="false" ht="12.75" hidden="false" customHeight="false" outlineLevel="0" collapsed="false">
      <c r="A250" s="32" t="n">
        <f aca="false">B250-0.25</f>
        <v>8.5</v>
      </c>
      <c r="B250" s="32" t="n">
        <v>8.75</v>
      </c>
      <c r="C250" s="18" t="n">
        <v>31.6</v>
      </c>
      <c r="D250" s="18" t="n">
        <v>-94.1</v>
      </c>
      <c r="E250" s="18" t="n">
        <v>50</v>
      </c>
      <c r="F250" s="27" t="n">
        <f aca="false">E250*0.5144</f>
        <v>25.72</v>
      </c>
      <c r="G250" s="22" t="e">
        <f aca="false">arclethnm(C249,D249,C250,D250)/6</f>
        <v>#NAME?</v>
      </c>
      <c r="H250" s="22" t="e">
        <f aca="false">G250*0.5144</f>
        <v>#NAME?</v>
      </c>
    </row>
    <row r="251" customFormat="false" ht="12.75" hidden="false" customHeight="false" outlineLevel="0" collapsed="false">
      <c r="A251" s="32" t="n">
        <f aca="false">B251-0.25</f>
        <v>8.75</v>
      </c>
      <c r="B251" s="32" t="n">
        <v>9</v>
      </c>
      <c r="C251" s="18" t="n">
        <v>32.3</v>
      </c>
      <c r="D251" s="18" t="n">
        <v>-93.6</v>
      </c>
      <c r="E251" s="18" t="n">
        <v>45</v>
      </c>
      <c r="F251" s="27" t="n">
        <f aca="false">E251*0.5144</f>
        <v>23.148</v>
      </c>
      <c r="G251" s="22" t="e">
        <f aca="false">arclethnm(C250,D250,C251,D251)/6</f>
        <v>#NAME?</v>
      </c>
      <c r="H251" s="22" t="e">
        <f aca="false">G251*0.5144</f>
        <v>#NAME?</v>
      </c>
    </row>
    <row r="252" customFormat="false" ht="12.75" hidden="false" customHeight="false" outlineLevel="0" collapsed="false">
      <c r="A252" s="32" t="n">
        <f aca="false">B252-0.25</f>
        <v>9</v>
      </c>
      <c r="B252" s="30" t="n">
        <v>9.25</v>
      </c>
      <c r="C252" s="18" t="n">
        <v>33</v>
      </c>
      <c r="D252" s="18" t="n">
        <v>-93.1</v>
      </c>
      <c r="E252" s="18" t="n">
        <v>40</v>
      </c>
      <c r="F252" s="27" t="n">
        <f aca="false">E252*0.5144</f>
        <v>20.576</v>
      </c>
      <c r="G252" s="22" t="e">
        <f aca="false">arclethnm(C251,D251,C252,D252)/6</f>
        <v>#NAME?</v>
      </c>
      <c r="H252" s="22" t="e">
        <f aca="false">G252*0.5144</f>
        <v>#NAME?</v>
      </c>
    </row>
    <row r="253" customFormat="false" ht="12.75" hidden="false" customHeight="false" outlineLevel="0" collapsed="false">
      <c r="A253" s="32" t="n">
        <f aca="false">B253-0.25</f>
        <v>9.25</v>
      </c>
      <c r="B253" s="30" t="n">
        <v>9.5</v>
      </c>
      <c r="C253" s="18" t="n">
        <v>33.9</v>
      </c>
      <c r="D253" s="18" t="n">
        <v>-92.5</v>
      </c>
      <c r="E253" s="18" t="n">
        <v>35</v>
      </c>
      <c r="F253" s="27" t="n">
        <f aca="false">E253*0.5144</f>
        <v>18.004</v>
      </c>
      <c r="G253" s="22" t="e">
        <f aca="false">arclethnm(C252,D252,C253,D253)/6</f>
        <v>#NAME?</v>
      </c>
      <c r="H253" s="22" t="e">
        <f aca="false">G253*0.5144</f>
        <v>#NAME?</v>
      </c>
    </row>
    <row r="254" customFormat="false" ht="12.75" hidden="false" customHeight="false" outlineLevel="0" collapsed="false">
      <c r="A254" s="32" t="n">
        <f aca="false">B254-0.25</f>
        <v>9.5</v>
      </c>
      <c r="B254" s="32" t="n">
        <v>9.75</v>
      </c>
      <c r="C254" s="18" t="n">
        <v>35.4</v>
      </c>
      <c r="D254" s="18" t="n">
        <v>-91.7</v>
      </c>
      <c r="E254" s="18" t="n">
        <v>35</v>
      </c>
      <c r="F254" s="27" t="n">
        <f aca="false">E254*0.5144</f>
        <v>18.004</v>
      </c>
      <c r="G254" s="22" t="e">
        <f aca="false">arclethnm(C253,D253,C254,D254)/6</f>
        <v>#NAME?</v>
      </c>
      <c r="H254" s="22" t="e">
        <f aca="false">G254*0.5144</f>
        <v>#NAME?</v>
      </c>
    </row>
    <row r="255" customFormat="false" ht="12.75" hidden="false" customHeight="false" outlineLevel="0" collapsed="false">
      <c r="A255" s="32" t="n">
        <f aca="false">B255-0.25</f>
        <v>9.75</v>
      </c>
      <c r="B255" s="32" t="n">
        <v>10</v>
      </c>
      <c r="C255" s="18" t="n">
        <v>37.5</v>
      </c>
      <c r="D255" s="18" t="n">
        <v>-90.7</v>
      </c>
      <c r="E255" s="18" t="n">
        <v>30</v>
      </c>
      <c r="F255" s="27" t="n">
        <f aca="false">E255*0.5144</f>
        <v>15.432</v>
      </c>
      <c r="G255" s="22" t="e">
        <f aca="false">arclethnm(C254,D254,C255,D255)/6</f>
        <v>#NAME?</v>
      </c>
      <c r="H255" s="22" t="e">
        <f aca="false">G255*0.5144</f>
        <v>#NAME?</v>
      </c>
    </row>
    <row r="256" customFormat="false" ht="12.75" hidden="false" customHeight="false" outlineLevel="0" collapsed="false">
      <c r="A256" s="32" t="n">
        <f aca="false">B256-0.25</f>
        <v>10</v>
      </c>
      <c r="B256" s="30" t="n">
        <v>10.25</v>
      </c>
      <c r="C256" s="18" t="n">
        <v>39.6</v>
      </c>
      <c r="D256" s="18" t="n">
        <v>-89.6</v>
      </c>
      <c r="E256" s="18" t="n">
        <v>30</v>
      </c>
      <c r="F256" s="27" t="n">
        <f aca="false">E256*0.5144</f>
        <v>15.432</v>
      </c>
      <c r="G256" s="22" t="e">
        <f aca="false">arclethnm(C255,D255,C256,D256)/6</f>
        <v>#NAME?</v>
      </c>
      <c r="H256" s="22" t="e">
        <f aca="false">G256*0.5144</f>
        <v>#NAME?</v>
      </c>
    </row>
    <row r="257" customFormat="false" ht="12.75" hidden="false" customHeight="false" outlineLevel="0" collapsed="false">
      <c r="A257" s="32" t="n">
        <f aca="false">B257-0.25</f>
        <v>10.25</v>
      </c>
      <c r="B257" s="30" t="n">
        <v>10.5</v>
      </c>
      <c r="C257" s="18" t="n">
        <v>42.2</v>
      </c>
      <c r="D257" s="18" t="n">
        <v>-88.4</v>
      </c>
      <c r="E257" s="18" t="n">
        <v>25</v>
      </c>
      <c r="F257" s="27" t="n">
        <f aca="false">E257*0.5144</f>
        <v>12.86</v>
      </c>
      <c r="G257" s="22" t="e">
        <f aca="false">arclethnm(C256,D256,C257,D257)/6</f>
        <v>#NAME?</v>
      </c>
      <c r="H257" s="22" t="e">
        <f aca="false">G257*0.5144</f>
        <v>#NAME?</v>
      </c>
    </row>
    <row r="258" customFormat="false" ht="12.75" hidden="false" customHeight="false" outlineLevel="0" collapsed="false">
      <c r="A258" s="32" t="n">
        <f aca="false">B258-0.25</f>
        <v>10.5</v>
      </c>
      <c r="B258" s="32" t="n">
        <v>10.75</v>
      </c>
      <c r="C258" s="0"/>
      <c r="D258" s="0"/>
      <c r="E258" s="0"/>
      <c r="F258" s="27"/>
      <c r="G258" s="0"/>
      <c r="H258" s="0"/>
    </row>
    <row r="259" customFormat="false" ht="12.75" hidden="false" customHeight="false" outlineLevel="0" collapsed="false">
      <c r="A259" s="32" t="n">
        <f aca="false">B259-0.25</f>
        <v>10.75</v>
      </c>
      <c r="B259" s="32" t="n">
        <v>11</v>
      </c>
      <c r="C259" s="0"/>
      <c r="D259" s="0"/>
      <c r="E259" s="0"/>
      <c r="F259" s="27"/>
      <c r="G259" s="0"/>
      <c r="H259" s="0"/>
    </row>
    <row r="260" customFormat="false" ht="12.75" hidden="false" customHeight="false" outlineLevel="0" collapsed="false">
      <c r="A260" s="32"/>
      <c r="B260" s="32"/>
      <c r="C260" s="0"/>
      <c r="D260" s="0"/>
      <c r="E260" s="0"/>
      <c r="F260" s="27"/>
      <c r="G260" s="0"/>
      <c r="H260" s="0"/>
    </row>
    <row r="261" customFormat="false" ht="12.75" hidden="false" customHeight="false" outlineLevel="0" collapsed="false">
      <c r="A261" s="32"/>
      <c r="B261" s="33" t="s">
        <v>147</v>
      </c>
      <c r="C261" s="23" t="s">
        <v>21</v>
      </c>
      <c r="D261" s="0"/>
      <c r="E261" s="0"/>
      <c r="F261" s="27"/>
      <c r="G261" s="0"/>
      <c r="H261" s="0"/>
    </row>
    <row r="262" customFormat="false" ht="12.75" hidden="false" customHeight="false" outlineLevel="0" collapsed="false">
      <c r="A262" s="32" t="n">
        <f aca="false">B262-0.25</f>
        <v>1</v>
      </c>
      <c r="B262" s="32" t="n">
        <v>1.25</v>
      </c>
      <c r="C262" s="18" t="n">
        <v>21.6</v>
      </c>
      <c r="D262" s="18" t="n">
        <v>-93.3</v>
      </c>
      <c r="E262" s="18" t="n">
        <v>60</v>
      </c>
      <c r="F262" s="27" t="n">
        <f aca="false">E262*0.5144</f>
        <v>30.864</v>
      </c>
      <c r="G262" s="0"/>
      <c r="H262" s="0"/>
    </row>
    <row r="263" customFormat="false" ht="12.75" hidden="false" customHeight="false" outlineLevel="0" collapsed="false">
      <c r="A263" s="32" t="n">
        <f aca="false">B263-0.25</f>
        <v>1.25</v>
      </c>
      <c r="B263" s="32" t="n">
        <v>1.5</v>
      </c>
      <c r="C263" s="18" t="n">
        <v>22</v>
      </c>
      <c r="D263" s="18" t="n">
        <v>-93.4</v>
      </c>
      <c r="E263" s="18" t="n">
        <v>85</v>
      </c>
      <c r="F263" s="27" t="n">
        <f aca="false">E263*0.5144</f>
        <v>43.724</v>
      </c>
      <c r="G263" s="22" t="e">
        <f aca="false">arclethnm(C262,D262,C263,D263)/6</f>
        <v>#NAME?</v>
      </c>
      <c r="H263" s="22" t="e">
        <f aca="false">G263*0.5144</f>
        <v>#NAME?</v>
      </c>
    </row>
    <row r="264" customFormat="false" ht="12.75" hidden="false" customHeight="false" outlineLevel="0" collapsed="false">
      <c r="A264" s="32" t="n">
        <f aca="false">B264-0.25</f>
        <v>1.5</v>
      </c>
      <c r="B264" s="32" t="n">
        <v>1.75</v>
      </c>
      <c r="C264" s="18" t="n">
        <v>22.6</v>
      </c>
      <c r="D264" s="18" t="n">
        <v>-93.5</v>
      </c>
      <c r="E264" s="18" t="n">
        <v>75</v>
      </c>
      <c r="F264" s="27" t="n">
        <f aca="false">E264*0.5144</f>
        <v>38.58</v>
      </c>
      <c r="G264" s="22" t="e">
        <f aca="false">arclethnm(C263,D263,C264,D264)/6</f>
        <v>#NAME?</v>
      </c>
      <c r="H264" s="22" t="e">
        <f aca="false">G264*0.5144</f>
        <v>#NAME?</v>
      </c>
    </row>
    <row r="265" customFormat="false" ht="12.75" hidden="false" customHeight="false" outlineLevel="0" collapsed="false">
      <c r="A265" s="32" t="n">
        <f aca="false">B265-0.25</f>
        <v>1.75</v>
      </c>
      <c r="B265" s="32" t="n">
        <v>2</v>
      </c>
      <c r="C265" s="18" t="n">
        <v>23.2</v>
      </c>
      <c r="D265" s="18" t="n">
        <v>-93.6</v>
      </c>
      <c r="E265" s="18" t="n">
        <v>75</v>
      </c>
      <c r="F265" s="27" t="n">
        <f aca="false">E265*0.5144</f>
        <v>38.58</v>
      </c>
      <c r="G265" s="22" t="e">
        <f aca="false">arclethnm(C264,D264,C265,D265)/6</f>
        <v>#NAME?</v>
      </c>
      <c r="H265" s="22" t="e">
        <f aca="false">G265*0.5144</f>
        <v>#NAME?</v>
      </c>
    </row>
    <row r="266" customFormat="false" ht="12.75" hidden="false" customHeight="false" outlineLevel="0" collapsed="false">
      <c r="A266" s="32" t="n">
        <f aca="false">B266-0.25</f>
        <v>2</v>
      </c>
      <c r="B266" s="32" t="n">
        <v>2.25</v>
      </c>
      <c r="C266" s="18" t="n">
        <v>23.9</v>
      </c>
      <c r="D266" s="18" t="n">
        <v>-93.7</v>
      </c>
      <c r="E266" s="18" t="n">
        <v>80</v>
      </c>
      <c r="F266" s="27" t="n">
        <f aca="false">E266*0.5144</f>
        <v>41.152</v>
      </c>
      <c r="G266" s="22" t="e">
        <f aca="false">arclethnm(C265,D265,C266,D266)/6</f>
        <v>#NAME?</v>
      </c>
      <c r="H266" s="22" t="e">
        <f aca="false">G266*0.5144</f>
        <v>#NAME?</v>
      </c>
    </row>
    <row r="267" customFormat="false" ht="12.75" hidden="false" customHeight="false" outlineLevel="0" collapsed="false">
      <c r="A267" s="32" t="n">
        <f aca="false">B267-0.25</f>
        <v>2.25</v>
      </c>
      <c r="B267" s="32" t="n">
        <v>2.5</v>
      </c>
      <c r="C267" s="18" t="n">
        <v>24.7</v>
      </c>
      <c r="D267" s="18" t="n">
        <v>-93.7</v>
      </c>
      <c r="E267" s="18" t="n">
        <v>80</v>
      </c>
      <c r="F267" s="27" t="n">
        <f aca="false">E267*0.5144</f>
        <v>41.152</v>
      </c>
      <c r="G267" s="22" t="e">
        <f aca="false">arclethnm(C266,D266,C267,D267)/6</f>
        <v>#NAME?</v>
      </c>
      <c r="H267" s="22" t="e">
        <f aca="false">G267*0.5144</f>
        <v>#NAME?</v>
      </c>
    </row>
    <row r="268" customFormat="false" ht="12.75" hidden="false" customHeight="false" outlineLevel="0" collapsed="false">
      <c r="A268" s="32" t="n">
        <f aca="false">B268-0.25</f>
        <v>2.5</v>
      </c>
      <c r="B268" s="32" t="n">
        <v>2.75</v>
      </c>
      <c r="C268" s="18" t="n">
        <v>25.5</v>
      </c>
      <c r="D268" s="18" t="n">
        <v>-93.8</v>
      </c>
      <c r="E268" s="18" t="n">
        <v>85</v>
      </c>
      <c r="F268" s="27" t="n">
        <f aca="false">E268*0.5144</f>
        <v>43.724</v>
      </c>
      <c r="G268" s="22" t="e">
        <f aca="false">arclethnm(C267,D267,C268,D268)/6</f>
        <v>#NAME?</v>
      </c>
      <c r="H268" s="22" t="e">
        <f aca="false">G268*0.5144</f>
        <v>#NAME?</v>
      </c>
    </row>
    <row r="269" customFormat="false" ht="12.75" hidden="false" customHeight="false" outlineLevel="0" collapsed="false">
      <c r="A269" s="32" t="n">
        <f aca="false">B269-0.25</f>
        <v>2.75</v>
      </c>
      <c r="B269" s="32" t="n">
        <v>3</v>
      </c>
      <c r="C269" s="18" t="n">
        <v>26.5</v>
      </c>
      <c r="D269" s="18" t="n">
        <v>-93.8</v>
      </c>
      <c r="E269" s="18" t="n">
        <v>95</v>
      </c>
      <c r="F269" s="27" t="n">
        <f aca="false">E269*0.5144</f>
        <v>48.868</v>
      </c>
      <c r="G269" s="22" t="e">
        <f aca="false">arclethnm(C268,D268,C269,D269)/6</f>
        <v>#NAME?</v>
      </c>
      <c r="H269" s="22" t="e">
        <f aca="false">G269*0.5144</f>
        <v>#NAME?</v>
      </c>
    </row>
    <row r="270" customFormat="false" ht="12.75" hidden="false" customHeight="false" outlineLevel="0" collapsed="false">
      <c r="A270" s="32" t="n">
        <f aca="false">B270-0.25</f>
        <v>3</v>
      </c>
      <c r="B270" s="32" t="n">
        <v>3.25</v>
      </c>
      <c r="C270" s="18" t="n">
        <v>27.9</v>
      </c>
      <c r="D270" s="18" t="n">
        <v>-93.8</v>
      </c>
      <c r="E270" s="18" t="n">
        <v>115</v>
      </c>
      <c r="F270" s="27" t="n">
        <f aca="false">E270*0.5144</f>
        <v>59.156</v>
      </c>
      <c r="G270" s="22" t="e">
        <f aca="false">arclethnm(C269,D269,C270,D270)/6</f>
        <v>#NAME?</v>
      </c>
      <c r="H270" s="22" t="e">
        <f aca="false">G270*0.5144</f>
        <v>#NAME?</v>
      </c>
    </row>
    <row r="271" customFormat="false" ht="12.75" hidden="false" customHeight="false" outlineLevel="0" collapsed="false">
      <c r="A271" s="32" t="n">
        <f aca="false">B271-0.25</f>
        <v>3.25</v>
      </c>
      <c r="B271" s="32" t="n">
        <v>3.5</v>
      </c>
      <c r="C271" s="18" t="n">
        <v>29.3</v>
      </c>
      <c r="D271" s="18" t="n">
        <v>-93.8</v>
      </c>
      <c r="E271" s="18" t="n">
        <v>125</v>
      </c>
      <c r="F271" s="27" t="n">
        <f aca="false">E271*0.5144</f>
        <v>64.3</v>
      </c>
      <c r="G271" s="22" t="e">
        <f aca="false">arclethnm(C270,D270,C271,D271)/6</f>
        <v>#NAME?</v>
      </c>
      <c r="H271" s="22" t="e">
        <f aca="false">G271*0.5144</f>
        <v>#NAME?</v>
      </c>
    </row>
    <row r="272" customFormat="false" ht="12.75" hidden="false" customHeight="false" outlineLevel="0" collapsed="false">
      <c r="A272" s="32" t="n">
        <f aca="false">B272-0.25</f>
        <v>3.5</v>
      </c>
      <c r="B272" s="32" t="n">
        <v>3.75</v>
      </c>
      <c r="C272" s="18" t="n">
        <v>30.7</v>
      </c>
      <c r="D272" s="18" t="n">
        <v>-93.5</v>
      </c>
      <c r="E272" s="18" t="n">
        <v>60</v>
      </c>
      <c r="F272" s="27" t="n">
        <f aca="false">E272*0.5144</f>
        <v>30.864</v>
      </c>
      <c r="G272" s="22" t="e">
        <f aca="false">arclethnm(C271,D271,C272,D272)/6</f>
        <v>#NAME?</v>
      </c>
      <c r="H272" s="22" t="e">
        <f aca="false">G272*0.5144</f>
        <v>#NAME?</v>
      </c>
    </row>
    <row r="273" customFormat="false" ht="12.75" hidden="false" customHeight="false" outlineLevel="0" collapsed="false">
      <c r="A273" s="32" t="n">
        <f aca="false">B273-0.25</f>
        <v>3.75</v>
      </c>
      <c r="B273" s="32" t="n">
        <v>4</v>
      </c>
      <c r="C273" s="18" t="n">
        <v>32</v>
      </c>
      <c r="D273" s="18" t="n">
        <v>-92.8</v>
      </c>
      <c r="E273" s="18" t="n">
        <v>45</v>
      </c>
      <c r="F273" s="27" t="n">
        <f aca="false">E273*0.5144</f>
        <v>23.148</v>
      </c>
      <c r="G273" s="22" t="e">
        <f aca="false">arclethnm(C272,D272,C273,D273)/6</f>
        <v>#NAME?</v>
      </c>
      <c r="H273" s="22" t="e">
        <f aca="false">G273*0.5144</f>
        <v>#NAME?</v>
      </c>
    </row>
    <row r="274" customFormat="false" ht="12.75" hidden="false" customHeight="false" outlineLevel="0" collapsed="false">
      <c r="A274" s="32" t="n">
        <f aca="false">B274-0.25</f>
        <v>4</v>
      </c>
      <c r="B274" s="32" t="n">
        <v>4.25</v>
      </c>
      <c r="C274" s="18" t="n">
        <v>33.3</v>
      </c>
      <c r="D274" s="18" t="n">
        <v>-91.6</v>
      </c>
      <c r="E274" s="18" t="n">
        <v>40</v>
      </c>
      <c r="F274" s="27" t="n">
        <f aca="false">E274*0.5144</f>
        <v>20.576</v>
      </c>
      <c r="G274" s="22" t="e">
        <f aca="false">arclethnm(C273,D273,C274,D274)/6</f>
        <v>#NAME?</v>
      </c>
      <c r="H274" s="22" t="e">
        <f aca="false">G274*0.5144</f>
        <v>#NAME?</v>
      </c>
    </row>
    <row r="275" customFormat="false" ht="12.75" hidden="false" customHeight="false" outlineLevel="0" collapsed="false">
      <c r="A275" s="32" t="n">
        <f aca="false">B275-0.25</f>
        <v>4.25</v>
      </c>
      <c r="B275" s="32" t="n">
        <v>4.5</v>
      </c>
      <c r="C275" s="18" t="n">
        <v>34.5</v>
      </c>
      <c r="D275" s="18" t="n">
        <v>-89.5</v>
      </c>
      <c r="E275" s="18" t="n">
        <v>35</v>
      </c>
      <c r="F275" s="27" t="n">
        <f aca="false">E275*0.5144</f>
        <v>18.004</v>
      </c>
      <c r="G275" s="22" t="e">
        <f aca="false">arclethnm(C274,D274,C275,D275)/6</f>
        <v>#NAME?</v>
      </c>
      <c r="H275" s="22" t="e">
        <f aca="false">G275*0.5144</f>
        <v>#NAME?</v>
      </c>
    </row>
    <row r="276" customFormat="false" ht="12.75" hidden="false" customHeight="false" outlineLevel="0" collapsed="false">
      <c r="A276" s="32" t="n">
        <f aca="false">B276-0.25</f>
        <v>4.5</v>
      </c>
      <c r="B276" s="32" t="n">
        <v>4.75</v>
      </c>
      <c r="C276" s="18" t="n">
        <v>36.5</v>
      </c>
      <c r="D276" s="18" t="n">
        <v>-86.1</v>
      </c>
      <c r="E276" s="18" t="n">
        <v>30</v>
      </c>
      <c r="F276" s="27" t="n">
        <f aca="false">E276*0.5144</f>
        <v>15.432</v>
      </c>
      <c r="G276" s="22" t="e">
        <f aca="false">arclethnm(C275,D275,C276,D276)/6</f>
        <v>#NAME?</v>
      </c>
      <c r="H276" s="22" t="e">
        <f aca="false">G276*0.5144</f>
        <v>#NAME?</v>
      </c>
    </row>
    <row r="277" customFormat="false" ht="12.75" hidden="false" customHeight="false" outlineLevel="0" collapsed="false">
      <c r="A277" s="32" t="n">
        <f aca="false">B277-0.25</f>
        <v>4.75</v>
      </c>
      <c r="B277" s="32" t="n">
        <v>5</v>
      </c>
      <c r="C277" s="18" t="n">
        <v>39.4</v>
      </c>
      <c r="D277" s="18" t="n">
        <v>-80.9</v>
      </c>
      <c r="E277" s="18" t="n">
        <v>40</v>
      </c>
      <c r="F277" s="27" t="n">
        <f aca="false">E277*0.5144</f>
        <v>20.576</v>
      </c>
      <c r="G277" s="22" t="e">
        <f aca="false">arclethnm(C276,D276,C277,D277)/6</f>
        <v>#NAME?</v>
      </c>
      <c r="H277" s="22" t="e">
        <f aca="false">G277*0.5144</f>
        <v>#NAME?</v>
      </c>
    </row>
    <row r="278" customFormat="false" ht="12.75" hidden="false" customHeight="false" outlineLevel="0" collapsed="false">
      <c r="A278" s="32" t="n">
        <f aca="false">B278-0.25</f>
        <v>5</v>
      </c>
      <c r="B278" s="32" t="n">
        <v>5.25</v>
      </c>
      <c r="C278" s="18" t="n">
        <v>43.7</v>
      </c>
      <c r="D278" s="18" t="n">
        <v>-77.1</v>
      </c>
      <c r="E278" s="18" t="n">
        <v>50</v>
      </c>
      <c r="F278" s="27" t="n">
        <f aca="false">E278*0.5144</f>
        <v>25.72</v>
      </c>
      <c r="G278" s="22" t="e">
        <f aca="false">arclethnm(C277,D277,C278,D278)/6</f>
        <v>#NAME?</v>
      </c>
      <c r="H278" s="22" t="e">
        <f aca="false">G278*0.5144</f>
        <v>#NAME?</v>
      </c>
    </row>
    <row r="279" customFormat="false" ht="12.75" hidden="false" customHeight="false" outlineLevel="0" collapsed="false">
      <c r="A279" s="0"/>
      <c r="B279" s="33"/>
      <c r="C279" s="0"/>
      <c r="D279" s="0"/>
      <c r="E279" s="0"/>
      <c r="F279" s="27"/>
      <c r="G279" s="0"/>
      <c r="H279" s="0"/>
    </row>
    <row r="280" customFormat="false" ht="12.75" hidden="false" customHeight="false" outlineLevel="0" collapsed="false">
      <c r="A280" s="0"/>
      <c r="B280" s="33" t="s">
        <v>148</v>
      </c>
      <c r="C280" s="23" t="s">
        <v>105</v>
      </c>
      <c r="D280" s="0"/>
      <c r="E280" s="0"/>
      <c r="F280" s="27"/>
      <c r="G280" s="0"/>
      <c r="H280" s="0"/>
    </row>
    <row r="281" customFormat="false" ht="12.75" hidden="false" customHeight="false" outlineLevel="0" collapsed="false">
      <c r="A281" s="0"/>
      <c r="B281" s="32" t="n">
        <v>1</v>
      </c>
      <c r="C281" s="18" t="n">
        <v>26.9</v>
      </c>
      <c r="D281" s="18" t="n">
        <v>-92.1</v>
      </c>
      <c r="E281" s="18" t="n">
        <v>25</v>
      </c>
      <c r="F281" s="27" t="n">
        <f aca="false">E281*0.5144</f>
        <v>12.86</v>
      </c>
      <c r="G281" s="0"/>
      <c r="H281" s="0"/>
    </row>
    <row r="282" customFormat="false" ht="12.75" hidden="false" customHeight="false" outlineLevel="0" collapsed="false">
      <c r="A282" s="0"/>
      <c r="B282" s="32" t="n">
        <v>1.25</v>
      </c>
      <c r="C282" s="18" t="n">
        <v>27.2</v>
      </c>
      <c r="D282" s="18" t="n">
        <v>-92.6</v>
      </c>
      <c r="E282" s="18" t="n">
        <v>30</v>
      </c>
      <c r="F282" s="27" t="n">
        <f aca="false">E282*0.5144</f>
        <v>15.432</v>
      </c>
      <c r="G282" s="22" t="e">
        <f aca="false">arclethnm(C281,D281,C282,D282)/6</f>
        <v>#NAME?</v>
      </c>
      <c r="H282" s="22" t="e">
        <f aca="false">G282*0.5144</f>
        <v>#NAME?</v>
      </c>
    </row>
    <row r="283" customFormat="false" ht="12.75" hidden="false" customHeight="false" outlineLevel="0" collapsed="false">
      <c r="A283" s="0"/>
      <c r="B283" s="32" t="n">
        <v>1.5</v>
      </c>
      <c r="C283" s="18" t="n">
        <v>27.5</v>
      </c>
      <c r="D283" s="18" t="n">
        <v>-93.1</v>
      </c>
      <c r="E283" s="18" t="n">
        <v>35</v>
      </c>
      <c r="F283" s="27" t="n">
        <f aca="false">E283*0.5144</f>
        <v>18.004</v>
      </c>
      <c r="G283" s="22" t="e">
        <f aca="false">arclethnm(C282,D282,C283,D283)/6</f>
        <v>#NAME?</v>
      </c>
      <c r="H283" s="22" t="e">
        <f aca="false">G283*0.5144</f>
        <v>#NAME?</v>
      </c>
    </row>
    <row r="284" customFormat="false" ht="12.75" hidden="false" customHeight="false" outlineLevel="0" collapsed="false">
      <c r="A284" s="0"/>
      <c r="B284" s="32" t="n">
        <v>1.75</v>
      </c>
      <c r="C284" s="18" t="n">
        <v>27.6</v>
      </c>
      <c r="D284" s="18" t="n">
        <v>-93.7</v>
      </c>
      <c r="E284" s="18" t="n">
        <v>35</v>
      </c>
      <c r="F284" s="27" t="n">
        <f aca="false">E284*0.5144</f>
        <v>18.004</v>
      </c>
      <c r="G284" s="22" t="e">
        <f aca="false">arclethnm(C283,D283,C284,D284)/6</f>
        <v>#NAME?</v>
      </c>
      <c r="H284" s="22" t="e">
        <f aca="false">G284*0.5144</f>
        <v>#NAME?</v>
      </c>
    </row>
    <row r="285" customFormat="false" ht="12.75" hidden="false" customHeight="false" outlineLevel="0" collapsed="false">
      <c r="A285" s="0"/>
      <c r="B285" s="32" t="n">
        <v>2</v>
      </c>
      <c r="C285" s="18" t="n">
        <v>27.6</v>
      </c>
      <c r="D285" s="18" t="n">
        <v>-94.4</v>
      </c>
      <c r="E285" s="18" t="n">
        <v>35</v>
      </c>
      <c r="F285" s="27" t="n">
        <f aca="false">E285*0.5144</f>
        <v>18.004</v>
      </c>
      <c r="G285" s="22" t="e">
        <f aca="false">arclethnm(C284,D284,C285,D285)/6</f>
        <v>#NAME?</v>
      </c>
      <c r="H285" s="22" t="e">
        <f aca="false">G285*0.5144</f>
        <v>#NAME?</v>
      </c>
    </row>
    <row r="286" customFormat="false" ht="12.75" hidden="false" customHeight="false" outlineLevel="0" collapsed="false">
      <c r="A286" s="0"/>
      <c r="B286" s="32" t="n">
        <v>2.25</v>
      </c>
      <c r="C286" s="18" t="n">
        <v>27.9</v>
      </c>
      <c r="D286" s="18" t="n">
        <v>-95</v>
      </c>
      <c r="E286" s="18" t="n">
        <v>40</v>
      </c>
      <c r="F286" s="27" t="n">
        <f aca="false">E286*0.5144</f>
        <v>20.576</v>
      </c>
      <c r="G286" s="22" t="e">
        <f aca="false">arclethnm(C285,D285,C286,D286)/6</f>
        <v>#NAME?</v>
      </c>
      <c r="H286" s="22" t="e">
        <f aca="false">G286*0.5144</f>
        <v>#NAME?</v>
      </c>
    </row>
    <row r="287" customFormat="false" ht="12.75" hidden="false" customHeight="false" outlineLevel="0" collapsed="false">
      <c r="A287" s="0"/>
      <c r="B287" s="32" t="n">
        <v>2.5</v>
      </c>
      <c r="C287" s="18" t="n">
        <v>28.3</v>
      </c>
      <c r="D287" s="18" t="n">
        <v>-95.4</v>
      </c>
      <c r="E287" s="18" t="n">
        <v>65</v>
      </c>
      <c r="F287" s="27" t="n">
        <f aca="false">E287*0.5144</f>
        <v>33.436</v>
      </c>
      <c r="G287" s="22" t="e">
        <f aca="false">arclethnm(C286,D286,C287,D287)/6</f>
        <v>#NAME?</v>
      </c>
      <c r="H287" s="22" t="e">
        <f aca="false">G287*0.5144</f>
        <v>#NAME?</v>
      </c>
    </row>
    <row r="288" customFormat="false" ht="12.75" hidden="false" customHeight="false" outlineLevel="0" collapsed="false">
      <c r="A288" s="0"/>
      <c r="B288" s="32" t="n">
        <v>2.75</v>
      </c>
      <c r="C288" s="18" t="n">
        <v>28.5</v>
      </c>
      <c r="D288" s="18" t="n">
        <v>-95.3</v>
      </c>
      <c r="E288" s="18" t="n">
        <v>65</v>
      </c>
      <c r="F288" s="27" t="n">
        <f aca="false">E288*0.5144</f>
        <v>33.436</v>
      </c>
      <c r="G288" s="22" t="e">
        <f aca="false">arclethnm(C287,D287,C288,D288)/6</f>
        <v>#NAME?</v>
      </c>
      <c r="H288" s="22" t="e">
        <f aca="false">G288*0.5144</f>
        <v>#NAME?</v>
      </c>
    </row>
    <row r="289" customFormat="false" ht="12.75" hidden="false" customHeight="false" outlineLevel="0" collapsed="false">
      <c r="A289" s="0"/>
      <c r="B289" s="32" t="n">
        <v>3</v>
      </c>
      <c r="C289" s="18" t="n">
        <v>28.8</v>
      </c>
      <c r="D289" s="18" t="n">
        <v>-95.1</v>
      </c>
      <c r="E289" s="18" t="n">
        <v>70</v>
      </c>
      <c r="F289" s="27" t="n">
        <f aca="false">E289*0.5144</f>
        <v>36.008</v>
      </c>
      <c r="G289" s="22" t="e">
        <f aca="false">arclethnm(C288,D288,C289,D289)/6</f>
        <v>#NAME?</v>
      </c>
      <c r="H289" s="22" t="e">
        <f aca="false">G289*0.5144</f>
        <v>#NAME?</v>
      </c>
    </row>
    <row r="290" customFormat="false" ht="12.75" hidden="false" customHeight="false" outlineLevel="0" collapsed="false">
      <c r="A290" s="0"/>
      <c r="B290" s="32" t="n">
        <v>3.25</v>
      </c>
      <c r="C290" s="18" t="n">
        <v>29.2</v>
      </c>
      <c r="D290" s="18" t="n">
        <v>-95.1</v>
      </c>
      <c r="E290" s="18" t="n">
        <v>75</v>
      </c>
      <c r="F290" s="27" t="n">
        <f aca="false">E290*0.5144</f>
        <v>38.58</v>
      </c>
      <c r="G290" s="22" t="e">
        <f aca="false">arclethnm(C289,D289,C290,D290)/6</f>
        <v>#NAME?</v>
      </c>
      <c r="H290" s="22" t="e">
        <f aca="false">G290*0.5144</f>
        <v>#NAME?</v>
      </c>
    </row>
    <row r="291" customFormat="false" ht="12.75" hidden="false" customHeight="false" outlineLevel="0" collapsed="false">
      <c r="A291" s="0"/>
      <c r="B291" s="32" t="n">
        <v>3.5</v>
      </c>
      <c r="C291" s="18" t="n">
        <v>29.6</v>
      </c>
      <c r="D291" s="18" t="n">
        <v>-95.1</v>
      </c>
      <c r="E291" s="18" t="n">
        <v>65</v>
      </c>
      <c r="F291" s="27" t="n">
        <f aca="false">E291*0.5144</f>
        <v>33.436</v>
      </c>
      <c r="G291" s="22" t="e">
        <f aca="false">arclethnm(C290,D290,C291,D291)/6</f>
        <v>#NAME?</v>
      </c>
      <c r="H291" s="22" t="e">
        <f aca="false">G291*0.5144</f>
        <v>#NAME?</v>
      </c>
    </row>
    <row r="292" customFormat="false" ht="12.75" hidden="false" customHeight="false" outlineLevel="0" collapsed="false">
      <c r="A292" s="0"/>
      <c r="B292" s="32" t="n">
        <v>3.75</v>
      </c>
      <c r="C292" s="18" t="n">
        <v>30.1</v>
      </c>
      <c r="D292" s="18" t="n">
        <v>-95.1</v>
      </c>
      <c r="E292" s="18" t="n">
        <v>60</v>
      </c>
      <c r="F292" s="27" t="n">
        <f aca="false">E292*0.5144</f>
        <v>30.864</v>
      </c>
      <c r="G292" s="22" t="e">
        <f aca="false">arclethnm(C291,D291,C292,D292)/6</f>
        <v>#NAME?</v>
      </c>
      <c r="H292" s="22" t="e">
        <f aca="false">G292*0.5144</f>
        <v>#NAME?</v>
      </c>
    </row>
    <row r="293" customFormat="false" ht="12.75" hidden="false" customHeight="false" outlineLevel="0" collapsed="false">
      <c r="A293" s="0"/>
      <c r="B293" s="32" t="n">
        <v>4</v>
      </c>
      <c r="C293" s="18" t="n">
        <v>30.6</v>
      </c>
      <c r="D293" s="18" t="n">
        <v>-95.1</v>
      </c>
      <c r="E293" s="18" t="n">
        <v>45</v>
      </c>
      <c r="F293" s="27" t="n">
        <f aca="false">E293*0.5144</f>
        <v>23.148</v>
      </c>
      <c r="G293" s="22" t="e">
        <f aca="false">arclethnm(C292,D292,C293,D293)/6</f>
        <v>#NAME?</v>
      </c>
      <c r="H293" s="22" t="e">
        <f aca="false">G293*0.5144</f>
        <v>#NAME?</v>
      </c>
    </row>
    <row r="294" customFormat="false" ht="12.75" hidden="false" customHeight="false" outlineLevel="0" collapsed="false">
      <c r="A294" s="0"/>
      <c r="B294" s="32" t="n">
        <v>4.25</v>
      </c>
      <c r="C294" s="18" t="n">
        <v>31.3</v>
      </c>
      <c r="D294" s="18" t="n">
        <v>-95.2</v>
      </c>
      <c r="E294" s="18" t="n">
        <v>30</v>
      </c>
      <c r="F294" s="27" t="n">
        <f aca="false">E294*0.5144</f>
        <v>15.432</v>
      </c>
      <c r="G294" s="22" t="e">
        <f aca="false">arclethnm(C293,D293,C294,D294)/6</f>
        <v>#NAME?</v>
      </c>
      <c r="H294" s="22" t="e">
        <f aca="false">G294*0.5144</f>
        <v>#NAME?</v>
      </c>
    </row>
    <row r="295" customFormat="false" ht="12.75" hidden="false" customHeight="false" outlineLevel="0" collapsed="false">
      <c r="A295" s="0"/>
      <c r="B295" s="32" t="n">
        <v>4.5</v>
      </c>
      <c r="C295" s="18" t="n">
        <v>32.1</v>
      </c>
      <c r="D295" s="18" t="n">
        <v>-95.4</v>
      </c>
      <c r="E295" s="18" t="n">
        <v>30</v>
      </c>
      <c r="F295" s="27" t="n">
        <f aca="false">E295*0.5144</f>
        <v>15.432</v>
      </c>
      <c r="G295" s="22" t="e">
        <f aca="false">arclethnm(C294,D294,C295,D295)/6</f>
        <v>#NAME?</v>
      </c>
      <c r="H295" s="22" t="e">
        <f aca="false">G295*0.5144</f>
        <v>#NAME?</v>
      </c>
    </row>
    <row r="296" customFormat="false" ht="12.75" hidden="false" customHeight="false" outlineLevel="0" collapsed="false">
      <c r="A296" s="0"/>
      <c r="B296" s="32" t="n">
        <v>4.75</v>
      </c>
      <c r="C296" s="18" t="n">
        <v>33.1</v>
      </c>
      <c r="D296" s="18" t="n">
        <v>-95.6</v>
      </c>
      <c r="E296" s="18" t="n">
        <v>30</v>
      </c>
      <c r="F296" s="27" t="n">
        <f aca="false">E296*0.5144</f>
        <v>15.432</v>
      </c>
      <c r="G296" s="22" t="e">
        <f aca="false">arclethnm(C295,D295,C296,D296)/6</f>
        <v>#NAME?</v>
      </c>
      <c r="H296" s="22" t="e">
        <f aca="false">G296*0.5144</f>
        <v>#NAME?</v>
      </c>
    </row>
    <row r="297" customFormat="false" ht="12.75" hidden="false" customHeight="false" outlineLevel="0" collapsed="false">
      <c r="A297" s="0"/>
      <c r="B297" s="32" t="n">
        <v>5</v>
      </c>
      <c r="C297" s="18" t="n">
        <v>34.1</v>
      </c>
      <c r="D297" s="18" t="n">
        <v>-96</v>
      </c>
      <c r="E297" s="18" t="n">
        <v>30</v>
      </c>
      <c r="F297" s="27" t="n">
        <f aca="false">E297*0.5144</f>
        <v>15.432</v>
      </c>
      <c r="G297" s="22" t="e">
        <f aca="false">arclethnm(C296,D296,C297,D297)/6</f>
        <v>#NAME?</v>
      </c>
      <c r="H297" s="22" t="e">
        <f aca="false">G297*0.5144</f>
        <v>#NAME?</v>
      </c>
    </row>
    <row r="298" customFormat="false" ht="12.75" hidden="false" customHeight="false" outlineLevel="0" collapsed="false">
      <c r="A298" s="0"/>
      <c r="B298" s="32" t="n">
        <v>5.25</v>
      </c>
      <c r="C298" s="18" t="n">
        <v>35</v>
      </c>
      <c r="D298" s="18" t="n">
        <v>-96.8</v>
      </c>
      <c r="E298" s="18" t="n">
        <v>25</v>
      </c>
      <c r="F298" s="27" t="n">
        <f aca="false">E298*0.5144</f>
        <v>12.86</v>
      </c>
      <c r="G298" s="22" t="e">
        <f aca="false">arclethnm(C297,D297,C298,D298)/6</f>
        <v>#NAME?</v>
      </c>
      <c r="H298" s="22" t="e">
        <f aca="false">G298*0.5144</f>
        <v>#NAME?</v>
      </c>
    </row>
    <row r="299" customFormat="false" ht="12.75" hidden="false" customHeight="false" outlineLevel="0" collapsed="false">
      <c r="A299" s="0"/>
      <c r="B299" s="32" t="n">
        <v>5.5</v>
      </c>
      <c r="C299" s="18" t="n">
        <v>35.8</v>
      </c>
      <c r="D299" s="18" t="n">
        <v>-97.7</v>
      </c>
      <c r="E299" s="18" t="n">
        <v>25</v>
      </c>
      <c r="F299" s="27" t="n">
        <f aca="false">E299*0.5144</f>
        <v>12.86</v>
      </c>
      <c r="G299" s="22" t="e">
        <f aca="false">arclethnm(C298,D298,C299,D299)/6</f>
        <v>#NAME?</v>
      </c>
      <c r="H299" s="22" t="e">
        <f aca="false">G299*0.5144</f>
        <v>#NAME?</v>
      </c>
    </row>
    <row r="300" customFormat="false" ht="12.75" hidden="false" customHeight="false" outlineLevel="0" collapsed="false">
      <c r="A300" s="30"/>
      <c r="B300" s="32" t="n">
        <v>5.75</v>
      </c>
      <c r="C300" s="18" t="n">
        <v>36.2</v>
      </c>
      <c r="D300" s="18" t="n">
        <v>-98.4</v>
      </c>
      <c r="E300" s="18" t="n">
        <v>25</v>
      </c>
      <c r="F300" s="27" t="n">
        <f aca="false">E300*0.5144</f>
        <v>12.86</v>
      </c>
      <c r="G300" s="22" t="e">
        <f aca="false">arclethnm(C299,D299,C300,D300)/6</f>
        <v>#NAME?</v>
      </c>
      <c r="H300" s="22" t="e">
        <f aca="false">G300*0.5144</f>
        <v>#NAME?</v>
      </c>
    </row>
    <row r="301" customFormat="false" ht="12.75" hidden="false" customHeight="false" outlineLevel="0" collapsed="false">
      <c r="A301" s="30"/>
      <c r="B301" s="32" t="n">
        <v>6</v>
      </c>
      <c r="C301" s="18" t="n">
        <v>36.3</v>
      </c>
      <c r="D301" s="18" t="n">
        <v>-99.5</v>
      </c>
      <c r="E301" s="18" t="n">
        <v>25</v>
      </c>
      <c r="F301" s="27" t="n">
        <f aca="false">E301*0.5144</f>
        <v>12.86</v>
      </c>
      <c r="G301" s="22" t="e">
        <f aca="false">arclethnm(C300,D300,C301,D301)/6</f>
        <v>#NAME?</v>
      </c>
      <c r="H301" s="22" t="e">
        <f aca="false">G301*0.5144</f>
        <v>#NAME?</v>
      </c>
    </row>
    <row r="302" customFormat="false" ht="12.75" hidden="false" customHeight="false" outlineLevel="0" collapsed="false">
      <c r="A302" s="30"/>
      <c r="B302" s="32" t="n">
        <v>6.25</v>
      </c>
      <c r="C302" s="18" t="n">
        <v>36.4</v>
      </c>
      <c r="D302" s="18" t="n">
        <v>-100.3</v>
      </c>
      <c r="E302" s="18" t="n">
        <v>25</v>
      </c>
      <c r="F302" s="27" t="n">
        <f aca="false">E302*0.5144</f>
        <v>12.86</v>
      </c>
      <c r="G302" s="22" t="e">
        <f aca="false">arclethnm(C301,D301,C302,D302)/6</f>
        <v>#NAME?</v>
      </c>
      <c r="H302" s="22" t="e">
        <f aca="false">G302*0.5144</f>
        <v>#NAME?</v>
      </c>
    </row>
    <row r="303" customFormat="false" ht="12.75" hidden="false" customHeight="false" outlineLevel="0" collapsed="false">
      <c r="A303" s="30"/>
      <c r="B303" s="0"/>
      <c r="C303" s="0"/>
      <c r="D303" s="0"/>
      <c r="E303" s="0"/>
      <c r="F303" s="27"/>
      <c r="G303" s="0"/>
      <c r="H303" s="0"/>
    </row>
    <row r="304" customFormat="false" ht="12.75" hidden="false" customHeight="false" outlineLevel="0" collapsed="false">
      <c r="A304" s="30"/>
      <c r="B304" s="23" t="s">
        <v>149</v>
      </c>
      <c r="C304" s="23" t="s">
        <v>23</v>
      </c>
      <c r="D304" s="0"/>
      <c r="E304" s="0"/>
      <c r="F304" s="27"/>
      <c r="G304" s="0"/>
      <c r="H304" s="0"/>
    </row>
    <row r="305" customFormat="false" ht="12.75" hidden="false" customHeight="false" outlineLevel="0" collapsed="false">
      <c r="A305" s="30" t="n">
        <f aca="false">B305-0.5</f>
        <v>1</v>
      </c>
      <c r="B305" s="18" t="n">
        <v>1.5</v>
      </c>
      <c r="C305" s="18" t="n">
        <v>12.5</v>
      </c>
      <c r="D305" s="18" t="n">
        <v>-77</v>
      </c>
      <c r="E305" s="18" t="n">
        <v>25</v>
      </c>
      <c r="F305" s="27" t="n">
        <f aca="false">E305*0.5144</f>
        <v>12.86</v>
      </c>
      <c r="G305" s="0"/>
      <c r="H305" s="0"/>
    </row>
    <row r="306" customFormat="false" ht="12.75" hidden="false" customHeight="false" outlineLevel="0" collapsed="false">
      <c r="A306" s="30" t="n">
        <f aca="false">B306-0.5</f>
        <v>1.25</v>
      </c>
      <c r="B306" s="18" t="n">
        <v>1.75</v>
      </c>
      <c r="C306" s="18" t="n">
        <v>12.9</v>
      </c>
      <c r="D306" s="18" t="n">
        <v>-78</v>
      </c>
      <c r="E306" s="18" t="n">
        <v>25</v>
      </c>
      <c r="F306" s="27" t="n">
        <f aca="false">E306*0.5144</f>
        <v>12.86</v>
      </c>
      <c r="G306" s="22" t="e">
        <f aca="false">arclethnm(C305,D305,C306,D306)/6</f>
        <v>#NAME?</v>
      </c>
      <c r="H306" s="22" t="e">
        <f aca="false">G306*0.5144</f>
        <v>#NAME?</v>
      </c>
    </row>
    <row r="307" customFormat="false" ht="12.75" hidden="false" customHeight="false" outlineLevel="0" collapsed="false">
      <c r="A307" s="30" t="n">
        <f aca="false">B307-0.5</f>
        <v>1.5</v>
      </c>
      <c r="B307" s="18" t="n">
        <v>2</v>
      </c>
      <c r="C307" s="18" t="n">
        <v>13.3</v>
      </c>
      <c r="D307" s="18" t="n">
        <v>-78.8</v>
      </c>
      <c r="E307" s="18" t="n">
        <v>25</v>
      </c>
      <c r="F307" s="27" t="n">
        <f aca="false">E307*0.5144</f>
        <v>12.86</v>
      </c>
      <c r="G307" s="22" t="e">
        <f aca="false">arclethnm(C306,D306,C307,D307)/6</f>
        <v>#NAME?</v>
      </c>
      <c r="H307" s="22" t="e">
        <f aca="false">G307*0.5144</f>
        <v>#NAME?</v>
      </c>
    </row>
    <row r="308" customFormat="false" ht="12.75" hidden="false" customHeight="false" outlineLevel="0" collapsed="false">
      <c r="A308" s="30" t="n">
        <f aca="false">B308-0.5</f>
        <v>1.75</v>
      </c>
      <c r="B308" s="18" t="n">
        <v>2.25</v>
      </c>
      <c r="C308" s="18" t="n">
        <v>13.7</v>
      </c>
      <c r="D308" s="18" t="n">
        <v>-79.5</v>
      </c>
      <c r="E308" s="18" t="n">
        <v>25</v>
      </c>
      <c r="F308" s="27" t="n">
        <f aca="false">E308*0.5144</f>
        <v>12.86</v>
      </c>
      <c r="G308" s="22" t="e">
        <f aca="false">arclethnm(C307,D307,C308,D308)/6</f>
        <v>#NAME?</v>
      </c>
      <c r="H308" s="22" t="e">
        <f aca="false">G308*0.5144</f>
        <v>#NAME?</v>
      </c>
    </row>
    <row r="309" customFormat="false" ht="12.75" hidden="false" customHeight="false" outlineLevel="0" collapsed="false">
      <c r="A309" s="30" t="n">
        <f aca="false">B309-0.5</f>
        <v>2</v>
      </c>
      <c r="B309" s="18" t="n">
        <v>2.5</v>
      </c>
      <c r="C309" s="18" t="n">
        <v>14.2</v>
      </c>
      <c r="D309" s="18" t="n">
        <v>-80.1</v>
      </c>
      <c r="E309" s="18" t="n">
        <v>25</v>
      </c>
      <c r="F309" s="27" t="n">
        <f aca="false">E309*0.5144</f>
        <v>12.86</v>
      </c>
      <c r="G309" s="22" t="e">
        <f aca="false">arclethnm(C308,D308,C309,D309)/6</f>
        <v>#NAME?</v>
      </c>
      <c r="H309" s="22" t="e">
        <f aca="false">G309*0.5144</f>
        <v>#NAME?</v>
      </c>
    </row>
    <row r="310" customFormat="false" ht="12.75" hidden="false" customHeight="false" outlineLevel="0" collapsed="false">
      <c r="A310" s="30" t="n">
        <f aca="false">B310-0.5</f>
        <v>2.25</v>
      </c>
      <c r="B310" s="18" t="n">
        <v>2.75</v>
      </c>
      <c r="C310" s="18" t="n">
        <v>14.9</v>
      </c>
      <c r="D310" s="18" t="n">
        <v>-80.7</v>
      </c>
      <c r="E310" s="18" t="n">
        <v>25</v>
      </c>
      <c r="F310" s="27" t="n">
        <f aca="false">E310*0.5144</f>
        <v>12.86</v>
      </c>
      <c r="G310" s="22" t="e">
        <f aca="false">arclethnm(C309,D309,C310,D310)/6</f>
        <v>#NAME?</v>
      </c>
      <c r="H310" s="22" t="e">
        <f aca="false">G310*0.5144</f>
        <v>#NAME?</v>
      </c>
    </row>
    <row r="311" customFormat="false" ht="12.75" hidden="false" customHeight="false" outlineLevel="0" collapsed="false">
      <c r="A311" s="30" t="n">
        <f aca="false">B311-0.5</f>
        <v>2.5</v>
      </c>
      <c r="B311" s="18" t="n">
        <v>3</v>
      </c>
      <c r="C311" s="18" t="n">
        <v>15.5</v>
      </c>
      <c r="D311" s="18" t="n">
        <v>-81.4</v>
      </c>
      <c r="E311" s="18" t="n">
        <v>30</v>
      </c>
      <c r="F311" s="27" t="n">
        <f aca="false">E311*0.5144</f>
        <v>15.432</v>
      </c>
      <c r="G311" s="22" t="e">
        <f aca="false">arclethnm(C310,D310,C311,D311)/6</f>
        <v>#NAME?</v>
      </c>
      <c r="H311" s="22" t="e">
        <f aca="false">G311*0.5144</f>
        <v>#NAME?</v>
      </c>
    </row>
    <row r="312" customFormat="false" ht="12.75" hidden="false" customHeight="false" outlineLevel="0" collapsed="false">
      <c r="A312" s="30" t="n">
        <f aca="false">B312-0.5</f>
        <v>2.75</v>
      </c>
      <c r="B312" s="18" t="n">
        <v>3.25</v>
      </c>
      <c r="C312" s="18" t="n">
        <v>15.9</v>
      </c>
      <c r="D312" s="18" t="n">
        <v>-82.1</v>
      </c>
      <c r="E312" s="18" t="n">
        <v>30</v>
      </c>
      <c r="F312" s="27" t="n">
        <f aca="false">E312*0.5144</f>
        <v>15.432</v>
      </c>
      <c r="G312" s="22" t="e">
        <f aca="false">arclethnm(C311,D311,C312,D312)/6</f>
        <v>#NAME?</v>
      </c>
      <c r="H312" s="22" t="e">
        <f aca="false">G312*0.5144</f>
        <v>#NAME?</v>
      </c>
    </row>
    <row r="313" customFormat="false" ht="12.75" hidden="false" customHeight="false" outlineLevel="0" collapsed="false">
      <c r="A313" s="30" t="n">
        <f aca="false">B313-0.5</f>
        <v>3</v>
      </c>
      <c r="B313" s="18" t="n">
        <v>3.5</v>
      </c>
      <c r="C313" s="18" t="n">
        <v>16.3</v>
      </c>
      <c r="D313" s="18" t="n">
        <v>-82.7</v>
      </c>
      <c r="E313" s="18" t="n">
        <v>40</v>
      </c>
      <c r="F313" s="27" t="n">
        <f aca="false">E313*0.5144</f>
        <v>20.576</v>
      </c>
      <c r="G313" s="22" t="e">
        <f aca="false">arclethnm(C312,D312,C313,D313)/6</f>
        <v>#NAME?</v>
      </c>
      <c r="H313" s="22" t="e">
        <f aca="false">G313*0.5144</f>
        <v>#NAME?</v>
      </c>
    </row>
    <row r="314" customFormat="false" ht="12.75" hidden="false" customHeight="false" outlineLevel="0" collapsed="false">
      <c r="A314" s="30" t="n">
        <f aca="false">B314-0.5</f>
        <v>3.25</v>
      </c>
      <c r="B314" s="18" t="n">
        <v>3.75</v>
      </c>
      <c r="C314" s="18" t="n">
        <v>16.9</v>
      </c>
      <c r="D314" s="18" t="n">
        <v>-83.1</v>
      </c>
      <c r="E314" s="18" t="n">
        <v>45</v>
      </c>
      <c r="F314" s="27" t="n">
        <f aca="false">E314*0.5144</f>
        <v>23.148</v>
      </c>
      <c r="G314" s="22" t="e">
        <f aca="false">arclethnm(C313,D313,C314,D314)/6</f>
        <v>#NAME?</v>
      </c>
      <c r="H314" s="22" t="e">
        <f aca="false">G314*0.5144</f>
        <v>#NAME?</v>
      </c>
    </row>
    <row r="315" customFormat="false" ht="12.75" hidden="false" customHeight="false" outlineLevel="0" collapsed="false">
      <c r="A315" s="30" t="n">
        <f aca="false">B315-0.5</f>
        <v>3.5</v>
      </c>
      <c r="B315" s="18" t="n">
        <v>4</v>
      </c>
      <c r="C315" s="18" t="n">
        <v>17.4</v>
      </c>
      <c r="D315" s="18" t="n">
        <v>-83.6</v>
      </c>
      <c r="E315" s="18" t="n">
        <v>50</v>
      </c>
      <c r="F315" s="27" t="n">
        <f aca="false">E315*0.5144</f>
        <v>25.72</v>
      </c>
      <c r="G315" s="22" t="e">
        <f aca="false">arclethnm(C314,D314,C315,D315)/6</f>
        <v>#NAME?</v>
      </c>
      <c r="H315" s="22" t="e">
        <f aca="false">G315*0.5144</f>
        <v>#NAME?</v>
      </c>
    </row>
    <row r="316" customFormat="false" ht="12.75" hidden="false" customHeight="false" outlineLevel="0" collapsed="false">
      <c r="A316" s="30" t="n">
        <f aca="false">B316-0.5</f>
        <v>3.75</v>
      </c>
      <c r="B316" s="18" t="n">
        <v>4.25</v>
      </c>
      <c r="C316" s="18" t="n">
        <v>18.1</v>
      </c>
      <c r="D316" s="18" t="n">
        <v>-84.3</v>
      </c>
      <c r="E316" s="18" t="n">
        <v>55</v>
      </c>
      <c r="F316" s="27" t="n">
        <f aca="false">E316*0.5144</f>
        <v>28.292</v>
      </c>
      <c r="G316" s="22" t="e">
        <f aca="false">arclethnm(C315,D315,C316,D316)/6</f>
        <v>#NAME?</v>
      </c>
      <c r="H316" s="22" t="e">
        <f aca="false">G316*0.5144</f>
        <v>#NAME?</v>
      </c>
    </row>
    <row r="317" customFormat="false" ht="12.75" hidden="false" customHeight="false" outlineLevel="0" collapsed="false">
      <c r="A317" s="30" t="n">
        <f aca="false">B317-0.5</f>
        <v>4</v>
      </c>
      <c r="B317" s="18" t="n">
        <v>4.5</v>
      </c>
      <c r="C317" s="18" t="n">
        <v>18.8</v>
      </c>
      <c r="D317" s="18" t="n">
        <v>-85.1</v>
      </c>
      <c r="E317" s="18" t="n">
        <v>65</v>
      </c>
      <c r="F317" s="27" t="n">
        <f aca="false">E317*0.5144</f>
        <v>33.436</v>
      </c>
      <c r="G317" s="22" t="e">
        <f aca="false">arclethnm(C316,D316,C317,D317)/6</f>
        <v>#NAME?</v>
      </c>
      <c r="H317" s="22" t="e">
        <f aca="false">G317*0.5144</f>
        <v>#NAME?</v>
      </c>
    </row>
    <row r="318" customFormat="false" ht="12.75" hidden="false" customHeight="false" outlineLevel="0" collapsed="false">
      <c r="A318" s="30" t="n">
        <f aca="false">B318-0.5</f>
        <v>4.25</v>
      </c>
      <c r="B318" s="18" t="n">
        <v>4.75</v>
      </c>
      <c r="C318" s="18" t="n">
        <v>19.1</v>
      </c>
      <c r="D318" s="18" t="n">
        <v>-85.6</v>
      </c>
      <c r="E318" s="18" t="n">
        <v>70</v>
      </c>
      <c r="F318" s="27" t="n">
        <f aca="false">E318*0.5144</f>
        <v>36.008</v>
      </c>
      <c r="G318" s="22" t="e">
        <f aca="false">arclethnm(C317,D317,C318,D318)/6</f>
        <v>#NAME?</v>
      </c>
      <c r="H318" s="22" t="e">
        <f aca="false">G318*0.5144</f>
        <v>#NAME?</v>
      </c>
    </row>
    <row r="319" customFormat="false" ht="12.75" hidden="false" customHeight="false" outlineLevel="0" collapsed="false">
      <c r="A319" s="30" t="n">
        <f aca="false">B319-0.5</f>
        <v>4.5</v>
      </c>
      <c r="B319" s="18" t="n">
        <v>5</v>
      </c>
      <c r="C319" s="18" t="n">
        <v>19.5</v>
      </c>
      <c r="D319" s="18" t="n">
        <v>-85.9</v>
      </c>
      <c r="E319" s="18" t="n">
        <v>75</v>
      </c>
      <c r="F319" s="27" t="n">
        <f aca="false">E319*0.5144</f>
        <v>38.58</v>
      </c>
      <c r="G319" s="22" t="e">
        <f aca="false">arclethnm(C318,D318,C319,D319)/6</f>
        <v>#NAME?</v>
      </c>
      <c r="H319" s="22" t="e">
        <f aca="false">G319*0.5144</f>
        <v>#NAME?</v>
      </c>
    </row>
    <row r="320" customFormat="false" ht="12.75" hidden="false" customHeight="false" outlineLevel="0" collapsed="false">
      <c r="A320" s="30" t="n">
        <f aca="false">B320-0.5</f>
        <v>4.75</v>
      </c>
      <c r="B320" s="18" t="n">
        <v>5.25</v>
      </c>
      <c r="C320" s="18" t="n">
        <v>20.2</v>
      </c>
      <c r="D320" s="18" t="n">
        <v>-86</v>
      </c>
      <c r="E320" s="18" t="n">
        <v>80</v>
      </c>
      <c r="F320" s="27" t="n">
        <f aca="false">E320*0.5144</f>
        <v>41.152</v>
      </c>
      <c r="G320" s="22" t="e">
        <f aca="false">arclethnm(C319,D319,C320,D320)/6</f>
        <v>#NAME?</v>
      </c>
      <c r="H320" s="22" t="e">
        <f aca="false">G320*0.5144</f>
        <v>#NAME?</v>
      </c>
    </row>
    <row r="321" customFormat="false" ht="12.75" hidden="false" customHeight="false" outlineLevel="0" collapsed="false">
      <c r="A321" s="30" t="n">
        <f aca="false">B321-0.5</f>
        <v>5</v>
      </c>
      <c r="B321" s="18" t="n">
        <v>5.5</v>
      </c>
      <c r="C321" s="18" t="n">
        <v>20.9</v>
      </c>
      <c r="D321" s="18" t="n">
        <v>-86</v>
      </c>
      <c r="E321" s="18" t="n">
        <v>85</v>
      </c>
      <c r="F321" s="27" t="n">
        <f aca="false">E321*0.5144</f>
        <v>43.724</v>
      </c>
      <c r="G321" s="22" t="e">
        <f aca="false">arclethnm(C320,D320,C321,D321)/6</f>
        <v>#NAME?</v>
      </c>
      <c r="H321" s="22" t="e">
        <f aca="false">G321*0.5144</f>
        <v>#NAME?</v>
      </c>
    </row>
    <row r="322" customFormat="false" ht="12.75" hidden="false" customHeight="false" outlineLevel="0" collapsed="false">
      <c r="A322" s="30" t="n">
        <f aca="false">B322-0.5</f>
        <v>5.25</v>
      </c>
      <c r="B322" s="18" t="n">
        <v>5.75</v>
      </c>
      <c r="C322" s="18" t="n">
        <v>21.7</v>
      </c>
      <c r="D322" s="18" t="n">
        <v>-86.3</v>
      </c>
      <c r="E322" s="18" t="n">
        <v>95</v>
      </c>
      <c r="F322" s="27" t="n">
        <f aca="false">E322*0.5144</f>
        <v>48.868</v>
      </c>
      <c r="G322" s="22" t="e">
        <f aca="false">arclethnm(C321,D321,C322,D322)/6</f>
        <v>#NAME?</v>
      </c>
      <c r="H322" s="22" t="e">
        <f aca="false">G322*0.5144</f>
        <v>#NAME?</v>
      </c>
    </row>
    <row r="323" customFormat="false" ht="12.75" hidden="false" customHeight="false" outlineLevel="0" collapsed="false">
      <c r="A323" s="30" t="n">
        <f aca="false">B323-0.5</f>
        <v>5.5</v>
      </c>
      <c r="B323" s="18" t="n">
        <v>6</v>
      </c>
      <c r="C323" s="18" t="n">
        <v>22.3</v>
      </c>
      <c r="D323" s="18" t="n">
        <v>-87.3</v>
      </c>
      <c r="E323" s="18" t="n">
        <v>100</v>
      </c>
      <c r="F323" s="27" t="n">
        <f aca="false">E323*0.5144</f>
        <v>51.44</v>
      </c>
      <c r="G323" s="22" t="e">
        <f aca="false">arclethnm(C322,D322,C323,D323)/6</f>
        <v>#NAME?</v>
      </c>
      <c r="H323" s="22" t="e">
        <f aca="false">G323*0.5144</f>
        <v>#NAME?</v>
      </c>
    </row>
    <row r="324" customFormat="false" ht="12.75" hidden="false" customHeight="false" outlineLevel="0" collapsed="false">
      <c r="A324" s="30" t="n">
        <f aca="false">B324-0.5</f>
        <v>5.75</v>
      </c>
      <c r="B324" s="18" t="n">
        <v>6.25</v>
      </c>
      <c r="C324" s="18" t="n">
        <v>22.8</v>
      </c>
      <c r="D324" s="18" t="n">
        <v>-87.8</v>
      </c>
      <c r="E324" s="18" t="n">
        <v>105</v>
      </c>
      <c r="F324" s="27" t="n">
        <f aca="false">E324*0.5144</f>
        <v>54.012</v>
      </c>
      <c r="G324" s="22" t="e">
        <f aca="false">arclethnm(C323,D323,C324,D324)/6</f>
        <v>#NAME?</v>
      </c>
      <c r="H324" s="22" t="e">
        <f aca="false">G324*0.5144</f>
        <v>#NAME?</v>
      </c>
    </row>
    <row r="325" customFormat="false" ht="12.75" hidden="false" customHeight="false" outlineLevel="0" collapsed="false">
      <c r="A325" s="30" t="n">
        <f aca="false">B325-0.5</f>
        <v>6</v>
      </c>
      <c r="B325" s="18" t="n">
        <v>6.5</v>
      </c>
      <c r="C325" s="18" t="n">
        <v>23.1</v>
      </c>
      <c r="D325" s="18" t="n">
        <v>-88.3</v>
      </c>
      <c r="E325" s="18" t="n">
        <v>110</v>
      </c>
      <c r="F325" s="27" t="n">
        <f aca="false">E325*0.5144</f>
        <v>56.584</v>
      </c>
      <c r="G325" s="22" t="e">
        <f aca="false">arclethnm(C324,D324,C325,D325)/6</f>
        <v>#NAME?</v>
      </c>
      <c r="H325" s="22" t="e">
        <f aca="false">G325*0.5144</f>
        <v>#NAME?</v>
      </c>
    </row>
    <row r="326" customFormat="false" ht="12.75" hidden="false" customHeight="false" outlineLevel="0" collapsed="false">
      <c r="A326" s="30" t="n">
        <f aca="false">B326-0.5</f>
        <v>6.25</v>
      </c>
      <c r="B326" s="18" t="n">
        <v>6.75</v>
      </c>
      <c r="C326" s="18" t="n">
        <v>23.4</v>
      </c>
      <c r="D326" s="18" t="n">
        <v>-89.2</v>
      </c>
      <c r="E326" s="18" t="n">
        <v>110</v>
      </c>
      <c r="F326" s="27" t="n">
        <f aca="false">E326*0.5144</f>
        <v>56.584</v>
      </c>
      <c r="G326" s="22" t="e">
        <f aca="false">arclethnm(C325,D325,C326,D326)/6</f>
        <v>#NAME?</v>
      </c>
      <c r="H326" s="22" t="e">
        <f aca="false">G326*0.5144</f>
        <v>#NAME?</v>
      </c>
    </row>
    <row r="327" customFormat="false" ht="12.75" hidden="false" customHeight="false" outlineLevel="0" collapsed="false">
      <c r="A327" s="30" t="n">
        <f aca="false">B327-0.5</f>
        <v>6.5</v>
      </c>
      <c r="B327" s="18" t="n">
        <v>7</v>
      </c>
      <c r="C327" s="18" t="n">
        <v>23.7</v>
      </c>
      <c r="D327" s="18" t="n">
        <v>-89.8</v>
      </c>
      <c r="E327" s="18" t="n">
        <v>110</v>
      </c>
      <c r="F327" s="27" t="n">
        <f aca="false">E327*0.5144</f>
        <v>56.584</v>
      </c>
      <c r="G327" s="22" t="e">
        <f aca="false">arclethnm(C326,D326,C327,D327)/6</f>
        <v>#NAME?</v>
      </c>
      <c r="H327" s="22" t="e">
        <f aca="false">G327*0.5144</f>
        <v>#NAME?</v>
      </c>
    </row>
    <row r="328" customFormat="false" ht="12.75" hidden="false" customHeight="false" outlineLevel="0" collapsed="false">
      <c r="A328" s="30" t="n">
        <f aca="false">B328-0.5</f>
        <v>6.75</v>
      </c>
      <c r="B328" s="18" t="n">
        <v>7.25</v>
      </c>
      <c r="C328" s="18" t="n">
        <v>24</v>
      </c>
      <c r="D328" s="18" t="n">
        <v>-90.2</v>
      </c>
      <c r="E328" s="18" t="n">
        <v>110</v>
      </c>
      <c r="F328" s="27" t="n">
        <f aca="false">E328*0.5144</f>
        <v>56.584</v>
      </c>
      <c r="G328" s="22" t="e">
        <f aca="false">arclethnm(C327,D327,C328,D328)/6</f>
        <v>#NAME?</v>
      </c>
      <c r="H328" s="22" t="e">
        <f aca="false">G328*0.5144</f>
        <v>#NAME?</v>
      </c>
    </row>
    <row r="329" customFormat="false" ht="12.75" hidden="false" customHeight="false" outlineLevel="0" collapsed="false">
      <c r="A329" s="30" t="n">
        <f aca="false">B329-0.5</f>
        <v>7</v>
      </c>
      <c r="B329" s="18" t="n">
        <v>7.5</v>
      </c>
      <c r="C329" s="18" t="n">
        <v>24.6</v>
      </c>
      <c r="D329" s="18" t="n">
        <v>-91</v>
      </c>
      <c r="E329" s="18" t="n">
        <v>110</v>
      </c>
      <c r="F329" s="27" t="n">
        <f aca="false">E329*0.5144</f>
        <v>56.584</v>
      </c>
      <c r="G329" s="22" t="e">
        <f aca="false">arclethnm(C328,D328,C329,D329)/6</f>
        <v>#NAME?</v>
      </c>
      <c r="H329" s="22" t="e">
        <f aca="false">G329*0.5144</f>
        <v>#NAME?</v>
      </c>
    </row>
    <row r="330" customFormat="false" ht="12.75" hidden="false" customHeight="false" outlineLevel="0" collapsed="false">
      <c r="A330" s="30" t="n">
        <f aca="false">B330-0.5</f>
        <v>7.25</v>
      </c>
      <c r="B330" s="18" t="n">
        <v>7.75</v>
      </c>
      <c r="C330" s="18" t="n">
        <v>24.9</v>
      </c>
      <c r="D330" s="18" t="n">
        <v>-91.8</v>
      </c>
      <c r="E330" s="18" t="n">
        <v>110</v>
      </c>
      <c r="F330" s="27" t="n">
        <f aca="false">E330*0.5144</f>
        <v>56.584</v>
      </c>
      <c r="G330" s="22" t="e">
        <f aca="false">arclethnm(C329,D329,C330,D330)/6</f>
        <v>#NAME?</v>
      </c>
      <c r="H330" s="22" t="e">
        <f aca="false">G330*0.5144</f>
        <v>#NAME?</v>
      </c>
    </row>
    <row r="331" customFormat="false" ht="12.75" hidden="false" customHeight="false" outlineLevel="0" collapsed="false">
      <c r="A331" s="30" t="n">
        <f aca="false">B331-0.5</f>
        <v>7.5</v>
      </c>
      <c r="B331" s="18" t="n">
        <v>8</v>
      </c>
      <c r="C331" s="18" t="n">
        <v>25.6</v>
      </c>
      <c r="D331" s="18" t="n">
        <v>-92.6</v>
      </c>
      <c r="E331" s="18" t="n">
        <v>110</v>
      </c>
      <c r="F331" s="27" t="n">
        <f aca="false">E331*0.5144</f>
        <v>56.584</v>
      </c>
      <c r="G331" s="22" t="e">
        <f aca="false">arclethnm(C330,D330,C331,D331)/6</f>
        <v>#NAME?</v>
      </c>
      <c r="H331" s="22" t="e">
        <f aca="false">G331*0.5144</f>
        <v>#NAME?</v>
      </c>
    </row>
    <row r="332" customFormat="false" ht="12.75" hidden="false" customHeight="false" outlineLevel="0" collapsed="false">
      <c r="A332" s="30" t="n">
        <f aca="false">B332-0.5</f>
        <v>7.75</v>
      </c>
      <c r="B332" s="18" t="n">
        <v>8.25</v>
      </c>
      <c r="C332" s="18" t="n">
        <v>26.1</v>
      </c>
      <c r="D332" s="18" t="n">
        <v>-93.3</v>
      </c>
      <c r="E332" s="18" t="n">
        <v>115</v>
      </c>
      <c r="F332" s="27" t="n">
        <f aca="false">E332*0.5144</f>
        <v>59.156</v>
      </c>
      <c r="G332" s="22" t="e">
        <f aca="false">arclethnm(C331,D331,C332,D332)/6</f>
        <v>#NAME?</v>
      </c>
      <c r="H332" s="22" t="e">
        <f aca="false">G332*0.5144</f>
        <v>#NAME?</v>
      </c>
    </row>
    <row r="333" customFormat="false" ht="12.75" hidden="false" customHeight="false" outlineLevel="0" collapsed="false">
      <c r="A333" s="30" t="n">
        <f aca="false">B333-0.5</f>
        <v>8</v>
      </c>
      <c r="B333" s="18" t="n">
        <v>8.5</v>
      </c>
      <c r="C333" s="18" t="n">
        <v>26.3</v>
      </c>
      <c r="D333" s="18" t="n">
        <v>-93.9</v>
      </c>
      <c r="E333" s="18" t="n">
        <v>120</v>
      </c>
      <c r="F333" s="27" t="n">
        <f aca="false">E333*0.5144</f>
        <v>61.728</v>
      </c>
      <c r="G333" s="22" t="e">
        <f aca="false">arclethnm(C332,D332,C333,D333)/6</f>
        <v>#NAME?</v>
      </c>
      <c r="H333" s="22" t="e">
        <f aca="false">G333*0.5144</f>
        <v>#NAME?</v>
      </c>
    </row>
    <row r="334" customFormat="false" ht="12.75" hidden="false" customHeight="false" outlineLevel="0" collapsed="false">
      <c r="A334" s="30" t="n">
        <f aca="false">B334-0.5</f>
        <v>8.25</v>
      </c>
      <c r="B334" s="18" t="n">
        <v>8.75</v>
      </c>
      <c r="C334" s="18" t="n">
        <v>26.7</v>
      </c>
      <c r="D334" s="18" t="n">
        <v>-94.5</v>
      </c>
      <c r="E334" s="18" t="n">
        <v>130</v>
      </c>
      <c r="F334" s="27" t="n">
        <f aca="false">E334*0.5144</f>
        <v>66.872</v>
      </c>
      <c r="G334" s="22" t="e">
        <f aca="false">arclethnm(C333,D333,C334,D334)/6</f>
        <v>#NAME?</v>
      </c>
      <c r="H334" s="22" t="e">
        <f aca="false">G334*0.5144</f>
        <v>#NAME?</v>
      </c>
    </row>
    <row r="335" customFormat="false" ht="12.75" hidden="false" customHeight="false" outlineLevel="0" collapsed="false">
      <c r="A335" s="30" t="n">
        <f aca="false">B335-0.5</f>
        <v>8.5</v>
      </c>
      <c r="B335" s="18" t="n">
        <v>9</v>
      </c>
      <c r="C335" s="18" t="n">
        <v>27</v>
      </c>
      <c r="D335" s="18" t="n">
        <v>-95</v>
      </c>
      <c r="E335" s="18" t="n">
        <v>140</v>
      </c>
      <c r="F335" s="27" t="n">
        <f aca="false">E335*0.5144</f>
        <v>72.016</v>
      </c>
      <c r="G335" s="22" t="e">
        <f aca="false">arclethnm(C334,D334,C335,D335)/6</f>
        <v>#NAME?</v>
      </c>
      <c r="H335" s="22" t="e">
        <f aca="false">G335*0.5144</f>
        <v>#NAME?</v>
      </c>
    </row>
    <row r="336" customFormat="false" ht="12.75" hidden="false" customHeight="false" outlineLevel="0" collapsed="false">
      <c r="A336" s="30" t="n">
        <f aca="false">B336-0.5</f>
        <v>8.75</v>
      </c>
      <c r="B336" s="18" t="n">
        <v>9.25</v>
      </c>
      <c r="C336" s="18" t="n">
        <v>27.2</v>
      </c>
      <c r="D336" s="18" t="n">
        <v>-95.7</v>
      </c>
      <c r="E336" s="18" t="n">
        <v>150</v>
      </c>
      <c r="F336" s="27" t="n">
        <f aca="false">E336*0.5144</f>
        <v>77.16</v>
      </c>
      <c r="G336" s="22" t="e">
        <f aca="false">arclethnm(C335,D335,C336,D336)/6</f>
        <v>#NAME?</v>
      </c>
      <c r="H336" s="22" t="e">
        <f aca="false">G336*0.5144</f>
        <v>#NAME?</v>
      </c>
    </row>
    <row r="337" customFormat="false" ht="12.75" hidden="false" customHeight="false" outlineLevel="0" collapsed="false">
      <c r="A337" s="30" t="n">
        <f aca="false">B337-0.5</f>
        <v>9</v>
      </c>
      <c r="B337" s="18" t="n">
        <v>9.5</v>
      </c>
      <c r="C337" s="18" t="n">
        <v>27.6</v>
      </c>
      <c r="D337" s="18" t="n">
        <v>-96.2</v>
      </c>
      <c r="E337" s="18" t="n">
        <v>145</v>
      </c>
      <c r="F337" s="27" t="n">
        <f aca="false">E337*0.5144</f>
        <v>74.588</v>
      </c>
      <c r="G337" s="22" t="e">
        <f aca="false">arclethnm(C336,D336,C337,D337)/6</f>
        <v>#NAME?</v>
      </c>
      <c r="H337" s="22" t="e">
        <f aca="false">G337*0.5144</f>
        <v>#NAME?</v>
      </c>
    </row>
    <row r="338" customFormat="false" ht="12.75" hidden="false" customHeight="false" outlineLevel="0" collapsed="false">
      <c r="A338" s="30" t="n">
        <f aca="false">B338-0.5</f>
        <v>9.25</v>
      </c>
      <c r="B338" s="18" t="n">
        <v>9.75</v>
      </c>
      <c r="C338" s="18" t="n">
        <v>28</v>
      </c>
      <c r="D338" s="18" t="n">
        <v>-96.4</v>
      </c>
      <c r="E338" s="18" t="n">
        <v>125</v>
      </c>
      <c r="F338" s="27" t="n">
        <f aca="false">E338*0.5144</f>
        <v>64.3</v>
      </c>
      <c r="G338" s="22" t="e">
        <f aca="false">arclethnm(C337,D337,C338,D338)/6</f>
        <v>#NAME?</v>
      </c>
      <c r="H338" s="22" t="e">
        <f aca="false">G338*0.5144</f>
        <v>#NAME?</v>
      </c>
    </row>
    <row r="339" customFormat="false" ht="12.75" hidden="false" customHeight="false" outlineLevel="0" collapsed="false">
      <c r="A339" s="30" t="n">
        <f aca="false">B339-0.5</f>
        <v>9.5</v>
      </c>
      <c r="B339" s="18" t="n">
        <v>10</v>
      </c>
      <c r="C339" s="18" t="n">
        <v>28.6</v>
      </c>
      <c r="D339" s="18" t="n">
        <v>-96.8</v>
      </c>
      <c r="E339" s="18" t="n">
        <v>100</v>
      </c>
      <c r="F339" s="27" t="n">
        <f aca="false">E339*0.5144</f>
        <v>51.44</v>
      </c>
      <c r="G339" s="22" t="e">
        <f aca="false">arclethnm(C338,D338,C339,D339)/6</f>
        <v>#NAME?</v>
      </c>
      <c r="H339" s="22" t="e">
        <f aca="false">G339*0.5144</f>
        <v>#NAME?</v>
      </c>
    </row>
    <row r="340" customFormat="false" ht="12.75" hidden="false" customHeight="false" outlineLevel="0" collapsed="false">
      <c r="A340" s="30" t="n">
        <f aca="false">B340-0.5</f>
        <v>9.75</v>
      </c>
      <c r="B340" s="18" t="n">
        <v>10.25</v>
      </c>
      <c r="C340" s="18" t="n">
        <v>29.5</v>
      </c>
      <c r="D340" s="18" t="n">
        <v>-97.2</v>
      </c>
      <c r="E340" s="18" t="n">
        <v>80</v>
      </c>
      <c r="F340" s="27" t="n">
        <f aca="false">E340*0.5144</f>
        <v>41.152</v>
      </c>
      <c r="G340" s="22" t="e">
        <f aca="false">arclethnm(C339,D339,C340,D340)/6</f>
        <v>#NAME?</v>
      </c>
      <c r="H340" s="22" t="e">
        <f aca="false">G340*0.5144</f>
        <v>#NAME?</v>
      </c>
    </row>
    <row r="341" customFormat="false" ht="12.75" hidden="false" customHeight="false" outlineLevel="0" collapsed="false">
      <c r="A341" s="30" t="n">
        <f aca="false">B341-0.5</f>
        <v>10</v>
      </c>
      <c r="B341" s="18" t="n">
        <v>10.5</v>
      </c>
      <c r="C341" s="18" t="n">
        <v>30.5</v>
      </c>
      <c r="D341" s="18" t="n">
        <v>-97.4</v>
      </c>
      <c r="E341" s="18" t="n">
        <v>60</v>
      </c>
      <c r="F341" s="27" t="n">
        <f aca="false">E341*0.5144</f>
        <v>30.864</v>
      </c>
      <c r="G341" s="22" t="e">
        <f aca="false">arclethnm(C340,D340,C341,D341)/6</f>
        <v>#NAME?</v>
      </c>
      <c r="H341" s="22" t="e">
        <f aca="false">G341*0.5144</f>
        <v>#NAME?</v>
      </c>
    </row>
    <row r="342" customFormat="false" ht="12.75" hidden="false" customHeight="false" outlineLevel="0" collapsed="false">
      <c r="A342" s="30" t="n">
        <f aca="false">B342-0.5</f>
        <v>10.25</v>
      </c>
      <c r="B342" s="18" t="n">
        <v>10.75</v>
      </c>
      <c r="C342" s="18" t="n">
        <v>31.8</v>
      </c>
      <c r="D342" s="18" t="n">
        <v>-97.4</v>
      </c>
      <c r="E342" s="18" t="n">
        <v>45</v>
      </c>
      <c r="F342" s="27" t="n">
        <f aca="false">E342*0.5144</f>
        <v>23.148</v>
      </c>
      <c r="G342" s="22" t="e">
        <f aca="false">arclethnm(C341,D341,C342,D342)/6</f>
        <v>#NAME?</v>
      </c>
      <c r="H342" s="22" t="e">
        <f aca="false">G342*0.5144</f>
        <v>#NAME?</v>
      </c>
    </row>
    <row r="343" customFormat="false" ht="12.75" hidden="false" customHeight="false" outlineLevel="0" collapsed="false">
      <c r="A343" s="30" t="n">
        <f aca="false">B343-0.5</f>
        <v>10.5</v>
      </c>
      <c r="B343" s="18" t="n">
        <v>11</v>
      </c>
      <c r="C343" s="18" t="n">
        <v>32.8</v>
      </c>
      <c r="D343" s="18" t="n">
        <v>-97.2</v>
      </c>
      <c r="E343" s="18" t="n">
        <v>40</v>
      </c>
      <c r="F343" s="27" t="n">
        <f aca="false">E343*0.5144</f>
        <v>20.576</v>
      </c>
      <c r="G343" s="22" t="e">
        <f aca="false">arclethnm(C342,D342,C343,D343)/6</f>
        <v>#NAME?</v>
      </c>
      <c r="H343" s="22" t="e">
        <f aca="false">G343*0.5144</f>
        <v>#NAME?</v>
      </c>
    </row>
    <row r="344" customFormat="false" ht="12.75" hidden="false" customHeight="false" outlineLevel="0" collapsed="false">
      <c r="A344" s="30" t="n">
        <f aca="false">B344-0.5</f>
        <v>10.75</v>
      </c>
      <c r="B344" s="18" t="n">
        <v>11.25</v>
      </c>
      <c r="C344" s="18" t="n">
        <v>33.5</v>
      </c>
      <c r="D344" s="18" t="n">
        <v>-97</v>
      </c>
      <c r="E344" s="18" t="n">
        <v>35</v>
      </c>
      <c r="F344" s="27" t="n">
        <f aca="false">E344*0.5144</f>
        <v>18.004</v>
      </c>
      <c r="G344" s="22" t="e">
        <f aca="false">arclethnm(C343,D343,C344,D344)/6</f>
        <v>#NAME?</v>
      </c>
      <c r="H344" s="22" t="e">
        <f aca="false">G344*0.5144</f>
        <v>#NAME?</v>
      </c>
    </row>
    <row r="345" customFormat="false" ht="12.75" hidden="false" customHeight="false" outlineLevel="0" collapsed="false">
      <c r="A345" s="30" t="n">
        <f aca="false">B345-0.5</f>
        <v>11</v>
      </c>
      <c r="B345" s="18" t="n">
        <v>11.5</v>
      </c>
      <c r="C345" s="18" t="n">
        <v>34.3</v>
      </c>
      <c r="D345" s="18" t="n">
        <v>-96.8</v>
      </c>
      <c r="E345" s="18" t="n">
        <v>30</v>
      </c>
      <c r="F345" s="27" t="n">
        <f aca="false">E345*0.5144</f>
        <v>15.432</v>
      </c>
      <c r="G345" s="22" t="e">
        <f aca="false">arclethnm(C344,D344,C345,D345)/6</f>
        <v>#NAME?</v>
      </c>
      <c r="H345" s="22" t="e">
        <f aca="false">G345*0.5144</f>
        <v>#NAME?</v>
      </c>
    </row>
    <row r="346" customFormat="false" ht="12.75" hidden="false" customHeight="false" outlineLevel="0" collapsed="false">
      <c r="A346" s="30" t="n">
        <f aca="false">B346-0.5</f>
        <v>11.25</v>
      </c>
      <c r="B346" s="18" t="n">
        <v>11.75</v>
      </c>
      <c r="C346" s="18" t="n">
        <v>36.2</v>
      </c>
      <c r="D346" s="18" t="n">
        <v>-94</v>
      </c>
      <c r="E346" s="18" t="n">
        <v>30</v>
      </c>
      <c r="F346" s="27" t="n">
        <f aca="false">E346*0.5144</f>
        <v>15.432</v>
      </c>
      <c r="G346" s="22" t="e">
        <f aca="false">arclethnm(C345,D345,C346,D346)/6</f>
        <v>#NAME?</v>
      </c>
      <c r="H346" s="22" t="e">
        <f aca="false">G346*0.5144</f>
        <v>#NAME?</v>
      </c>
    </row>
    <row r="347" customFormat="false" ht="12.75" hidden="false" customHeight="false" outlineLevel="0" collapsed="false">
      <c r="A347" s="30" t="n">
        <f aca="false">B347-0.5</f>
        <v>11.5</v>
      </c>
      <c r="B347" s="18" t="n">
        <v>12</v>
      </c>
      <c r="C347" s="18" t="n">
        <v>38</v>
      </c>
      <c r="D347" s="18" t="n">
        <v>-90.5</v>
      </c>
      <c r="E347" s="18" t="n">
        <v>30</v>
      </c>
      <c r="F347" s="27" t="n">
        <f aca="false">E347*0.5144</f>
        <v>15.432</v>
      </c>
      <c r="G347" s="22" t="e">
        <f aca="false">arclethnm(C346,D346,C347,D347)/6</f>
        <v>#NAME?</v>
      </c>
      <c r="H347" s="22" t="e">
        <f aca="false">G347*0.5144</f>
        <v>#NAME?</v>
      </c>
    </row>
    <row r="348" customFormat="false" ht="12.75" hidden="false" customHeight="false" outlineLevel="0" collapsed="false">
      <c r="A348" s="30" t="n">
        <f aca="false">B348-0.5</f>
        <v>11.75</v>
      </c>
      <c r="B348" s="18" t="n">
        <v>12.25</v>
      </c>
      <c r="C348" s="18" t="n">
        <v>42.1</v>
      </c>
      <c r="D348" s="18" t="n">
        <v>-87.1</v>
      </c>
      <c r="E348" s="18" t="n">
        <v>30</v>
      </c>
      <c r="F348" s="27" t="n">
        <f aca="false">E348*0.5144</f>
        <v>15.432</v>
      </c>
      <c r="G348" s="22" t="e">
        <f aca="false">arclethnm(C347,D347,C348,D348)/6</f>
        <v>#NAME?</v>
      </c>
      <c r="H348" s="22" t="e">
        <f aca="false">G348*0.5144</f>
        <v>#NAME?</v>
      </c>
    </row>
    <row r="349" customFormat="false" ht="12.75" hidden="false" customHeight="false" outlineLevel="0" collapsed="false">
      <c r="A349" s="30" t="n">
        <f aca="false">B349-0.5</f>
        <v>12</v>
      </c>
      <c r="B349" s="18" t="n">
        <v>12.5</v>
      </c>
      <c r="C349" s="18" t="n">
        <v>46.3</v>
      </c>
      <c r="D349" s="18" t="n">
        <v>-83.8</v>
      </c>
      <c r="E349" s="18" t="n">
        <v>30</v>
      </c>
      <c r="F349" s="27" t="n">
        <f aca="false">E349*0.5144</f>
        <v>15.432</v>
      </c>
      <c r="G349" s="22" t="e">
        <f aca="false">arclethnm(C348,D348,C349,D349)/6</f>
        <v>#NAME?</v>
      </c>
      <c r="H349" s="22" t="e">
        <f aca="false">G349*0.5144</f>
        <v>#NAME?</v>
      </c>
    </row>
    <row r="350" customFormat="false" ht="12.75" hidden="false" customHeight="false" outlineLevel="0" collapsed="false">
      <c r="A350" s="30" t="n">
        <f aca="false">B350-0.5</f>
        <v>12.25</v>
      </c>
      <c r="B350" s="18" t="n">
        <v>12.75</v>
      </c>
      <c r="C350" s="18" t="n">
        <v>47.5</v>
      </c>
      <c r="D350" s="18" t="n">
        <v>-80.7</v>
      </c>
      <c r="E350" s="18" t="n">
        <v>30</v>
      </c>
      <c r="F350" s="27" t="n">
        <f aca="false">E350*0.5144</f>
        <v>15.432</v>
      </c>
      <c r="G350" s="22" t="e">
        <f aca="false">arclethnm(C349,D349,C350,D350)/6</f>
        <v>#NAME?</v>
      </c>
      <c r="H350" s="22" t="e">
        <f aca="false">G350*0.5144</f>
        <v>#NAME?</v>
      </c>
    </row>
    <row r="351" customFormat="false" ht="12.75" hidden="false" customHeight="false" outlineLevel="0" collapsed="false">
      <c r="A351" s="30" t="n">
        <f aca="false">B351-0.5</f>
        <v>12.5</v>
      </c>
      <c r="B351" s="18" t="n">
        <v>13</v>
      </c>
      <c r="C351" s="18" t="n">
        <v>48.7</v>
      </c>
      <c r="D351" s="18" t="n">
        <v>-78</v>
      </c>
      <c r="E351" s="18" t="n">
        <v>30</v>
      </c>
      <c r="F351" s="27" t="n">
        <f aca="false">E351*0.5144</f>
        <v>15.432</v>
      </c>
      <c r="G351" s="22" t="e">
        <f aca="false">arclethnm(C350,D350,C351,D351)/6</f>
        <v>#NAME?</v>
      </c>
      <c r="H351" s="22" t="e">
        <f aca="false">G351*0.5144</f>
        <v>#NAME?</v>
      </c>
    </row>
    <row r="352" customFormat="false" ht="12.75" hidden="false" customHeight="false" outlineLevel="0" collapsed="false">
      <c r="A352" s="30" t="n">
        <f aca="false">B352-0.5</f>
        <v>12.75</v>
      </c>
      <c r="B352" s="18" t="n">
        <v>13.25</v>
      </c>
      <c r="C352" s="18" t="n">
        <v>51.2</v>
      </c>
      <c r="D352" s="18" t="n">
        <v>-72.7</v>
      </c>
      <c r="E352" s="18" t="n">
        <v>30</v>
      </c>
      <c r="F352" s="27" t="n">
        <f aca="false">E352*0.5144</f>
        <v>15.432</v>
      </c>
      <c r="G352" s="22" t="e">
        <f aca="false">arclethnm(C351,D351,C352,D352)/6</f>
        <v>#NAME?</v>
      </c>
      <c r="H352" s="22" t="e">
        <f aca="false">G352*0.5144</f>
        <v>#NAME?</v>
      </c>
    </row>
    <row r="353" customFormat="false" ht="12.75" hidden="false" customHeight="false" outlineLevel="0" collapsed="false">
      <c r="A353" s="30" t="n">
        <f aca="false">B353-0.5</f>
        <v>13</v>
      </c>
      <c r="B353" s="18" t="n">
        <v>13.5</v>
      </c>
      <c r="C353" s="18" t="n">
        <v>53.7</v>
      </c>
      <c r="D353" s="18" t="n">
        <v>-67.5</v>
      </c>
      <c r="E353" s="18" t="n">
        <v>30</v>
      </c>
      <c r="F353" s="27" t="n">
        <f aca="false">E353*0.5144</f>
        <v>15.432</v>
      </c>
      <c r="G353" s="22" t="e">
        <f aca="false">arclethnm(C352,D352,C353,D353)/6</f>
        <v>#NAME?</v>
      </c>
      <c r="H353" s="22" t="e">
        <f aca="false">G353*0.5144</f>
        <v>#NAME?</v>
      </c>
    </row>
    <row r="354" customFormat="false" ht="12.75" hidden="false" customHeight="false" outlineLevel="0" collapsed="false">
      <c r="A354" s="30" t="n">
        <f aca="false">B354-0.5</f>
        <v>13.25</v>
      </c>
      <c r="B354" s="18" t="n">
        <v>13.75</v>
      </c>
      <c r="C354" s="18" t="n">
        <v>56.8</v>
      </c>
      <c r="D354" s="18" t="n">
        <v>-66.2</v>
      </c>
      <c r="E354" s="18" t="n">
        <v>30</v>
      </c>
      <c r="F354" s="27" t="n">
        <f aca="false">E354*0.5144</f>
        <v>15.432</v>
      </c>
      <c r="G354" s="22" t="e">
        <f aca="false">arclethnm(C353,D353,C354,D354)/6</f>
        <v>#NAME?</v>
      </c>
      <c r="H354" s="22" t="e">
        <f aca="false">G354*0.5144</f>
        <v>#NAME?</v>
      </c>
    </row>
    <row r="355" customFormat="false" ht="12.75" hidden="false" customHeight="false" outlineLevel="0" collapsed="false">
      <c r="A355" s="30" t="n">
        <f aca="false">B355-0.5</f>
        <v>13.5</v>
      </c>
      <c r="B355" s="18" t="n">
        <v>14</v>
      </c>
      <c r="C355" s="18" t="n">
        <v>60</v>
      </c>
      <c r="D355" s="18" t="n">
        <v>-65</v>
      </c>
      <c r="E355" s="18" t="n">
        <v>30</v>
      </c>
      <c r="F355" s="27" t="n">
        <f aca="false">E355*0.5144</f>
        <v>15.432</v>
      </c>
      <c r="G355" s="22" t="e">
        <f aca="false">arclethnm(C354,D354,C355,D355)/6</f>
        <v>#NAME?</v>
      </c>
      <c r="H355" s="22" t="e">
        <f aca="false">G355*0.5144</f>
        <v>#NAME?</v>
      </c>
    </row>
    <row r="356" customFormat="false" ht="12.75" hidden="false" customHeight="false" outlineLevel="0" collapsed="false">
      <c r="A356" s="0"/>
      <c r="B356" s="0"/>
      <c r="C356" s="0"/>
      <c r="D356" s="0"/>
      <c r="E356" s="0"/>
      <c r="F356" s="27"/>
      <c r="G356" s="0"/>
      <c r="H356" s="0"/>
    </row>
    <row r="357" customFormat="false" ht="12.75" hidden="false" customHeight="false" outlineLevel="0" collapsed="false">
      <c r="A357" s="0"/>
      <c r="B357" s="23" t="s">
        <v>150</v>
      </c>
      <c r="C357" s="23" t="s">
        <v>108</v>
      </c>
      <c r="D357" s="0"/>
      <c r="E357" s="0"/>
      <c r="F357" s="27"/>
      <c r="G357" s="0"/>
      <c r="H357" s="0"/>
    </row>
    <row r="358" customFormat="false" ht="12.75" hidden="false" customHeight="false" outlineLevel="0" collapsed="false">
      <c r="A358" s="30" t="n">
        <f aca="false">B358-0.5</f>
        <v>1</v>
      </c>
      <c r="B358" s="18" t="n">
        <v>1.5</v>
      </c>
      <c r="C358" s="18" t="n">
        <v>26.7</v>
      </c>
      <c r="D358" s="18" t="n">
        <v>-93.7</v>
      </c>
      <c r="E358" s="18" t="n">
        <v>40</v>
      </c>
      <c r="F358" s="27" t="n">
        <f aca="false">E358*0.5144</f>
        <v>20.576</v>
      </c>
      <c r="G358" s="0"/>
      <c r="H358" s="0"/>
    </row>
    <row r="359" customFormat="false" ht="12.75" hidden="false" customHeight="false" outlineLevel="0" collapsed="false">
      <c r="A359" s="30" t="n">
        <f aca="false">B359-0.5</f>
        <v>1.25</v>
      </c>
      <c r="B359" s="18" t="n">
        <v>1.75</v>
      </c>
      <c r="C359" s="18" t="n">
        <v>27.3</v>
      </c>
      <c r="D359" s="18" t="n">
        <v>-93.9</v>
      </c>
      <c r="E359" s="18" t="n">
        <v>60</v>
      </c>
      <c r="F359" s="27" t="n">
        <f aca="false">E359*0.5144</f>
        <v>30.864</v>
      </c>
      <c r="G359" s="22" t="e">
        <f aca="false">arclethnm(C358,D358,C359,D359)/6</f>
        <v>#NAME?</v>
      </c>
      <c r="H359" s="22" t="e">
        <f aca="false">G359*0.5144</f>
        <v>#NAME?</v>
      </c>
    </row>
    <row r="360" customFormat="false" ht="12.75" hidden="false" customHeight="false" outlineLevel="0" collapsed="false">
      <c r="A360" s="30" t="n">
        <f aca="false">B360-0.5</f>
        <v>1.5</v>
      </c>
      <c r="B360" s="18" t="n">
        <v>2</v>
      </c>
      <c r="C360" s="18" t="n">
        <v>28</v>
      </c>
      <c r="D360" s="18" t="n">
        <v>-93.9</v>
      </c>
      <c r="E360" s="18" t="n">
        <v>70</v>
      </c>
      <c r="F360" s="27" t="n">
        <f aca="false">E360*0.5144</f>
        <v>36.008</v>
      </c>
      <c r="G360" s="22" t="e">
        <f aca="false">arclethnm(C359,D359,C360,D360)/6</f>
        <v>#NAME?</v>
      </c>
      <c r="H360" s="22" t="e">
        <f aca="false">G360*0.5144</f>
        <v>#NAME?</v>
      </c>
    </row>
    <row r="361" customFormat="false" ht="12.75" hidden="false" customHeight="false" outlineLevel="0" collapsed="false">
      <c r="A361" s="30" t="n">
        <f aca="false">B361-0.5</f>
        <v>1.75</v>
      </c>
      <c r="B361" s="18" t="n">
        <v>2.25</v>
      </c>
      <c r="C361" s="18" t="n">
        <v>28.7</v>
      </c>
      <c r="D361" s="18" t="n">
        <v>-94.1</v>
      </c>
      <c r="E361" s="18" t="n">
        <v>65</v>
      </c>
      <c r="F361" s="27" t="n">
        <f aca="false">E361*0.5144</f>
        <v>33.436</v>
      </c>
      <c r="G361" s="22" t="e">
        <f aca="false">arclethnm(C360,D360,C361,D361)/6</f>
        <v>#NAME?</v>
      </c>
      <c r="H361" s="22" t="e">
        <f aca="false">G361*0.5144</f>
        <v>#NAME?</v>
      </c>
    </row>
    <row r="362" customFormat="false" ht="12.75" hidden="false" customHeight="false" outlineLevel="0" collapsed="false">
      <c r="A362" s="30" t="n">
        <f aca="false">B362-0.5</f>
        <v>2</v>
      </c>
      <c r="B362" s="18" t="n">
        <v>2.5</v>
      </c>
      <c r="C362" s="18" t="n">
        <v>29.4</v>
      </c>
      <c r="D362" s="18" t="n">
        <v>-94.4</v>
      </c>
      <c r="E362" s="18" t="n">
        <v>65</v>
      </c>
      <c r="F362" s="27" t="n">
        <f aca="false">E362*0.5144</f>
        <v>33.436</v>
      </c>
      <c r="G362" s="22" t="e">
        <f aca="false">arclethnm(C361,D361,C362,D362)/6</f>
        <v>#NAME?</v>
      </c>
      <c r="H362" s="22" t="e">
        <f aca="false">G362*0.5144</f>
        <v>#NAME?</v>
      </c>
    </row>
    <row r="363" customFormat="false" ht="12.75" hidden="false" customHeight="false" outlineLevel="0" collapsed="false">
      <c r="A363" s="30" t="n">
        <f aca="false">B363-0.5</f>
        <v>2.25</v>
      </c>
      <c r="B363" s="18" t="n">
        <v>2.75</v>
      </c>
      <c r="C363" s="18" t="n">
        <v>29.8</v>
      </c>
      <c r="D363" s="18" t="n">
        <v>-94.4</v>
      </c>
      <c r="E363" s="18" t="n">
        <v>65</v>
      </c>
      <c r="F363" s="27" t="n">
        <f aca="false">E363*0.5144</f>
        <v>33.436</v>
      </c>
      <c r="G363" s="22" t="e">
        <f aca="false">arclethnm(C362,D362,C363,D363)/6</f>
        <v>#NAME?</v>
      </c>
      <c r="H363" s="22" t="e">
        <f aca="false">G363*0.5144</f>
        <v>#NAME?</v>
      </c>
    </row>
    <row r="364" customFormat="false" ht="12.75" hidden="false" customHeight="false" outlineLevel="0" collapsed="false">
      <c r="A364" s="30" t="n">
        <f aca="false">B364-0.5</f>
        <v>2.5</v>
      </c>
      <c r="B364" s="18" t="n">
        <v>3</v>
      </c>
      <c r="C364" s="18" t="n">
        <v>30</v>
      </c>
      <c r="D364" s="18" t="n">
        <v>-94.6</v>
      </c>
      <c r="E364" s="18" t="n">
        <v>65</v>
      </c>
      <c r="F364" s="27" t="n">
        <f aca="false">E364*0.5144</f>
        <v>33.436</v>
      </c>
      <c r="G364" s="22" t="e">
        <f aca="false">arclethnm(C363,D363,C364,D364)/6</f>
        <v>#NAME?</v>
      </c>
      <c r="H364" s="22" t="e">
        <f aca="false">G364*0.5144</f>
        <v>#NAME?</v>
      </c>
    </row>
    <row r="365" customFormat="false" ht="12.75" hidden="false" customHeight="false" outlineLevel="0" collapsed="false">
      <c r="A365" s="30" t="n">
        <f aca="false">B365-0.5</f>
        <v>2.75</v>
      </c>
      <c r="B365" s="18" t="n">
        <v>3.25</v>
      </c>
      <c r="C365" s="18" t="n">
        <v>30.1</v>
      </c>
      <c r="D365" s="18" t="n">
        <v>-94.9</v>
      </c>
      <c r="E365" s="18" t="n">
        <v>35</v>
      </c>
      <c r="F365" s="27" t="n">
        <f aca="false">E365*0.5144</f>
        <v>18.004</v>
      </c>
      <c r="G365" s="22" t="e">
        <f aca="false">arclethnm(C364,D364,C365,D365)/6</f>
        <v>#NAME?</v>
      </c>
      <c r="H365" s="22" t="e">
        <f aca="false">G365*0.5144</f>
        <v>#NAME?</v>
      </c>
    </row>
    <row r="366" customFormat="false" ht="12.75" hidden="false" customHeight="false" outlineLevel="0" collapsed="false">
      <c r="A366" s="30" t="n">
        <f aca="false">B366-0.5</f>
        <v>3</v>
      </c>
      <c r="B366" s="18" t="n">
        <v>3.5</v>
      </c>
      <c r="C366" s="18" t="n">
        <v>30.1</v>
      </c>
      <c r="D366" s="18" t="n">
        <v>-95.2</v>
      </c>
      <c r="E366" s="18" t="n">
        <v>30</v>
      </c>
      <c r="F366" s="27" t="n">
        <f aca="false">E366*0.5144</f>
        <v>15.432</v>
      </c>
      <c r="G366" s="22" t="e">
        <f aca="false">arclethnm(C365,D365,C366,D366)/6</f>
        <v>#NAME?</v>
      </c>
      <c r="H366" s="22" t="e">
        <f aca="false">G366*0.5144</f>
        <v>#NAME?</v>
      </c>
    </row>
    <row r="367" customFormat="false" ht="12.75" hidden="false" customHeight="false" outlineLevel="0" collapsed="false">
      <c r="A367" s="30" t="n">
        <f aca="false">B367-0.5</f>
        <v>3.25</v>
      </c>
      <c r="B367" s="18" t="n">
        <v>3.75</v>
      </c>
      <c r="C367" s="18" t="n">
        <v>29.9</v>
      </c>
      <c r="D367" s="18" t="n">
        <v>-95.6</v>
      </c>
      <c r="E367" s="18" t="n">
        <v>25</v>
      </c>
      <c r="F367" s="27" t="n">
        <f aca="false">E367*0.5144</f>
        <v>12.86</v>
      </c>
      <c r="G367" s="22" t="e">
        <f aca="false">arclethnm(C366,D366,C367,D367)/6</f>
        <v>#NAME?</v>
      </c>
      <c r="H367" s="22" t="e">
        <f aca="false">G367*0.5144</f>
        <v>#NAME?</v>
      </c>
    </row>
    <row r="368" customFormat="false" ht="12.75" hidden="false" customHeight="false" outlineLevel="0" collapsed="false">
      <c r="A368" s="30" t="n">
        <f aca="false">B368-0.5</f>
        <v>3.5</v>
      </c>
      <c r="B368" s="18" t="n">
        <v>4</v>
      </c>
      <c r="C368" s="18" t="n">
        <v>29.5</v>
      </c>
      <c r="D368" s="18" t="n">
        <v>-96</v>
      </c>
      <c r="E368" s="18" t="n">
        <v>25</v>
      </c>
      <c r="F368" s="27" t="n">
        <f aca="false">E368*0.5144</f>
        <v>12.86</v>
      </c>
      <c r="G368" s="22" t="e">
        <f aca="false">arclethnm(C367,D367,C368,D368)/6</f>
        <v>#NAME?</v>
      </c>
      <c r="H368" s="22" t="e">
        <f aca="false">G368*0.5144</f>
        <v>#NAME?</v>
      </c>
    </row>
    <row r="369" customFormat="false" ht="12.75" hidden="false" customHeight="false" outlineLevel="0" collapsed="false">
      <c r="A369" s="30" t="n">
        <f aca="false">B369-0.5</f>
        <v>3.75</v>
      </c>
      <c r="B369" s="18" t="n">
        <v>4.25</v>
      </c>
      <c r="C369" s="18" t="n">
        <v>29.2</v>
      </c>
      <c r="D369" s="18" t="n">
        <v>-96.4</v>
      </c>
      <c r="E369" s="18" t="n">
        <v>25</v>
      </c>
      <c r="F369" s="27" t="n">
        <f aca="false">E369*0.5144</f>
        <v>12.86</v>
      </c>
      <c r="G369" s="22" t="e">
        <f aca="false">arclethnm(C368,D368,C369,D369)/6</f>
        <v>#NAME?</v>
      </c>
      <c r="H369" s="22" t="e">
        <f aca="false">G369*0.5144</f>
        <v>#NAME?</v>
      </c>
    </row>
    <row r="370" customFormat="false" ht="12.75" hidden="false" customHeight="false" outlineLevel="0" collapsed="false">
      <c r="A370" s="30" t="n">
        <f aca="false">B370-0.5</f>
        <v>4</v>
      </c>
      <c r="B370" s="18" t="n">
        <v>4.5</v>
      </c>
      <c r="C370" s="18" t="n">
        <v>28.7</v>
      </c>
      <c r="D370" s="18" t="n">
        <v>-97</v>
      </c>
      <c r="E370" s="18" t="n">
        <v>25</v>
      </c>
      <c r="F370" s="27" t="n">
        <f aca="false">E370*0.5144</f>
        <v>12.86</v>
      </c>
      <c r="G370" s="22" t="e">
        <f aca="false">arclethnm(C369,D369,C370,D370)/6</f>
        <v>#NAME?</v>
      </c>
      <c r="H370" s="22" t="e">
        <f aca="false">G370*0.5144</f>
        <v>#NAME?</v>
      </c>
    </row>
    <row r="371" customFormat="false" ht="12.75" hidden="false" customHeight="false" outlineLevel="0" collapsed="false">
      <c r="A371" s="30" t="n">
        <f aca="false">B371-0.5</f>
        <v>4.25</v>
      </c>
      <c r="B371" s="18" t="n">
        <v>4.75</v>
      </c>
      <c r="C371" s="18" t="n">
        <v>28.4</v>
      </c>
      <c r="D371" s="18" t="n">
        <v>-97.4</v>
      </c>
      <c r="E371" s="18" t="n">
        <v>25</v>
      </c>
      <c r="F371" s="27" t="n">
        <f aca="false">E371*0.5144</f>
        <v>12.86</v>
      </c>
      <c r="G371" s="22" t="e">
        <f aca="false">arclethnm(C370,D370,C371,D371)/6</f>
        <v>#NAME?</v>
      </c>
      <c r="H371" s="22" t="e">
        <f aca="false">G371*0.5144</f>
        <v>#NAME?</v>
      </c>
    </row>
    <row r="372" customFormat="false" ht="12.75" hidden="false" customHeight="false" outlineLevel="0" collapsed="false">
      <c r="A372" s="30" t="n">
        <f aca="false">B372-0.5</f>
        <v>4.5</v>
      </c>
      <c r="B372" s="18" t="n">
        <v>5</v>
      </c>
      <c r="C372" s="18" t="n">
        <v>27.8</v>
      </c>
      <c r="D372" s="18" t="n">
        <v>-98.1</v>
      </c>
      <c r="E372" s="18" t="n">
        <v>25</v>
      </c>
      <c r="F372" s="27" t="n">
        <f aca="false">E372*0.5144</f>
        <v>12.86</v>
      </c>
      <c r="G372" s="22" t="e">
        <f aca="false">arclethnm(C371,D371,C372,D372)/6</f>
        <v>#NAME?</v>
      </c>
      <c r="H372" s="22" t="e">
        <f aca="false">G372*0.5144</f>
        <v>#NAME?</v>
      </c>
    </row>
    <row r="373" customFormat="false" ht="12.75" hidden="false" customHeight="false" outlineLevel="0" collapsed="false">
      <c r="A373" s="0"/>
      <c r="B373" s="0"/>
      <c r="C373" s="0"/>
      <c r="D373" s="0"/>
      <c r="E373" s="0"/>
      <c r="F373" s="27"/>
      <c r="G373" s="0"/>
      <c r="H373" s="0"/>
    </row>
    <row r="374" customFormat="false" ht="12.75" hidden="false" customHeight="false" outlineLevel="0" collapsed="false">
      <c r="A374" s="0"/>
      <c r="B374" s="23" t="s">
        <v>151</v>
      </c>
      <c r="C374" s="23" t="s">
        <v>25</v>
      </c>
      <c r="D374" s="0"/>
      <c r="E374" s="0"/>
      <c r="F374" s="27"/>
      <c r="G374" s="0"/>
      <c r="H374" s="0"/>
    </row>
    <row r="375" customFormat="false" ht="12.75" hidden="false" customHeight="false" outlineLevel="0" collapsed="false">
      <c r="A375" s="30" t="n">
        <f aca="false">B375-0.5</f>
        <v>1</v>
      </c>
      <c r="B375" s="18" t="n">
        <v>1.5</v>
      </c>
      <c r="C375" s="18" t="n">
        <v>14</v>
      </c>
      <c r="D375" s="18" t="n">
        <v>-57</v>
      </c>
      <c r="E375" s="18" t="n">
        <v>30</v>
      </c>
      <c r="F375" s="27" t="n">
        <f aca="false">E375*0.5144</f>
        <v>15.432</v>
      </c>
      <c r="G375" s="0"/>
      <c r="H375" s="0"/>
    </row>
    <row r="376" customFormat="false" ht="12.75" hidden="false" customHeight="false" outlineLevel="0" collapsed="false">
      <c r="A376" s="30" t="n">
        <f aca="false">B376-0.5</f>
        <v>1.25</v>
      </c>
      <c r="B376" s="18" t="n">
        <v>1.75</v>
      </c>
      <c r="C376" s="18" t="n">
        <v>13.9</v>
      </c>
      <c r="D376" s="18" t="n">
        <v>-57.8</v>
      </c>
      <c r="E376" s="18" t="n">
        <v>30</v>
      </c>
      <c r="F376" s="27" t="n">
        <f aca="false">E376*0.5144</f>
        <v>15.432</v>
      </c>
      <c r="G376" s="22" t="e">
        <f aca="false">arclethnm(C375,D375,C376,D376)/6</f>
        <v>#NAME?</v>
      </c>
      <c r="H376" s="22" t="e">
        <f aca="false">G376*0.5144</f>
        <v>#NAME?</v>
      </c>
    </row>
    <row r="377" customFormat="false" ht="12.75" hidden="false" customHeight="false" outlineLevel="0" collapsed="false">
      <c r="A377" s="30" t="n">
        <f aca="false">B377-0.5</f>
        <v>1.5</v>
      </c>
      <c r="B377" s="18" t="n">
        <v>2</v>
      </c>
      <c r="C377" s="18" t="n">
        <v>13.8</v>
      </c>
      <c r="D377" s="18" t="n">
        <v>-58.5</v>
      </c>
      <c r="E377" s="18" t="n">
        <v>30</v>
      </c>
      <c r="F377" s="27" t="n">
        <f aca="false">E377*0.5144</f>
        <v>15.432</v>
      </c>
      <c r="G377" s="22" t="e">
        <f aca="false">arclethnm(C376,D376,C377,D377)/6</f>
        <v>#NAME?</v>
      </c>
      <c r="H377" s="22" t="e">
        <f aca="false">G377*0.5144</f>
        <v>#NAME?</v>
      </c>
    </row>
    <row r="378" customFormat="false" ht="12.75" hidden="false" customHeight="false" outlineLevel="0" collapsed="false">
      <c r="A378" s="30" t="n">
        <f aca="false">B378-0.5</f>
        <v>1.75</v>
      </c>
      <c r="B378" s="18" t="n">
        <v>2.25</v>
      </c>
      <c r="C378" s="18" t="n">
        <v>13.7</v>
      </c>
      <c r="D378" s="18" t="n">
        <v>-59.3</v>
      </c>
      <c r="E378" s="18" t="n">
        <v>30</v>
      </c>
      <c r="F378" s="27" t="n">
        <f aca="false">E378*0.5144</f>
        <v>15.432</v>
      </c>
      <c r="G378" s="22" t="e">
        <f aca="false">arclethnm(C377,D377,C378,D378)/6</f>
        <v>#NAME?</v>
      </c>
      <c r="H378" s="22" t="e">
        <f aca="false">G378*0.5144</f>
        <v>#NAME?</v>
      </c>
    </row>
    <row r="379" customFormat="false" ht="12.75" hidden="false" customHeight="false" outlineLevel="0" collapsed="false">
      <c r="A379" s="30" t="n">
        <f aca="false">B379-0.5</f>
        <v>2</v>
      </c>
      <c r="B379" s="18" t="n">
        <v>2.5</v>
      </c>
      <c r="C379" s="18" t="n">
        <v>13.6</v>
      </c>
      <c r="D379" s="18" t="n">
        <v>-60</v>
      </c>
      <c r="E379" s="18" t="n">
        <v>30</v>
      </c>
      <c r="F379" s="27" t="n">
        <f aca="false">E379*0.5144</f>
        <v>15.432</v>
      </c>
      <c r="G379" s="22" t="e">
        <f aca="false">arclethnm(C378,D378,C379,D379)/6</f>
        <v>#NAME?</v>
      </c>
      <c r="H379" s="22" t="e">
        <f aca="false">G379*0.5144</f>
        <v>#NAME?</v>
      </c>
    </row>
    <row r="380" customFormat="false" ht="12.75" hidden="false" customHeight="false" outlineLevel="0" collapsed="false">
      <c r="A380" s="30" t="n">
        <f aca="false">B380-0.5</f>
        <v>2.25</v>
      </c>
      <c r="B380" s="18" t="n">
        <v>2.75</v>
      </c>
      <c r="C380" s="18" t="n">
        <v>13.6</v>
      </c>
      <c r="D380" s="18" t="n">
        <v>-60.2</v>
      </c>
      <c r="E380" s="18" t="n">
        <v>30</v>
      </c>
      <c r="F380" s="27" t="n">
        <f aca="false">E380*0.5144</f>
        <v>15.432</v>
      </c>
      <c r="G380" s="22" t="e">
        <f aca="false">arclethnm(C379,D379,C380,D380)/6</f>
        <v>#NAME?</v>
      </c>
      <c r="H380" s="22" t="e">
        <f aca="false">G380*0.5144</f>
        <v>#NAME?</v>
      </c>
    </row>
    <row r="381" customFormat="false" ht="12.75" hidden="false" customHeight="false" outlineLevel="0" collapsed="false">
      <c r="A381" s="30" t="n">
        <f aca="false">B381-0.5</f>
        <v>2.5</v>
      </c>
      <c r="B381" s="18" t="n">
        <v>3</v>
      </c>
      <c r="C381" s="18" t="n">
        <v>13.7</v>
      </c>
      <c r="D381" s="18" t="n">
        <v>-60.5</v>
      </c>
      <c r="E381" s="18" t="n">
        <v>30</v>
      </c>
      <c r="F381" s="27" t="n">
        <f aca="false">E381*0.5144</f>
        <v>15.432</v>
      </c>
      <c r="G381" s="22" t="e">
        <f aca="false">arclethnm(C380,D380,C381,D381)/6</f>
        <v>#NAME?</v>
      </c>
      <c r="H381" s="22" t="e">
        <f aca="false">G381*0.5144</f>
        <v>#NAME?</v>
      </c>
    </row>
    <row r="382" customFormat="false" ht="12.75" hidden="false" customHeight="false" outlineLevel="0" collapsed="false">
      <c r="A382" s="30" t="n">
        <f aca="false">B382-0.5</f>
        <v>2.75</v>
      </c>
      <c r="B382" s="18" t="n">
        <v>3.25</v>
      </c>
      <c r="C382" s="18" t="n">
        <v>13.8</v>
      </c>
      <c r="D382" s="18" t="n">
        <v>-60.7</v>
      </c>
      <c r="E382" s="18" t="n">
        <v>30</v>
      </c>
      <c r="F382" s="27" t="n">
        <f aca="false">E382*0.5144</f>
        <v>15.432</v>
      </c>
      <c r="G382" s="22" t="e">
        <f aca="false">arclethnm(C381,D381,C382,D382)/6</f>
        <v>#NAME?</v>
      </c>
      <c r="H382" s="22" t="e">
        <f aca="false">G382*0.5144</f>
        <v>#NAME?</v>
      </c>
    </row>
    <row r="383" customFormat="false" ht="12.75" hidden="false" customHeight="false" outlineLevel="0" collapsed="false">
      <c r="A383" s="30" t="n">
        <f aca="false">B383-0.5</f>
        <v>3</v>
      </c>
      <c r="B383" s="18" t="n">
        <v>3.5</v>
      </c>
      <c r="C383" s="18" t="n">
        <v>13.9</v>
      </c>
      <c r="D383" s="18" t="n">
        <v>-60.8</v>
      </c>
      <c r="E383" s="18" t="n">
        <v>40</v>
      </c>
      <c r="F383" s="27" t="n">
        <f aca="false">E383*0.5144</f>
        <v>20.576</v>
      </c>
      <c r="G383" s="22" t="e">
        <f aca="false">arclethnm(C382,D382,C383,D383)/6</f>
        <v>#NAME?</v>
      </c>
      <c r="H383" s="22" t="e">
        <f aca="false">G383*0.5144</f>
        <v>#NAME?</v>
      </c>
    </row>
    <row r="384" customFormat="false" ht="12.75" hidden="false" customHeight="false" outlineLevel="0" collapsed="false">
      <c r="A384" s="30" t="n">
        <f aca="false">B384-0.5</f>
        <v>3.25</v>
      </c>
      <c r="B384" s="18" t="n">
        <v>3.75</v>
      </c>
      <c r="C384" s="18" t="n">
        <v>14</v>
      </c>
      <c r="D384" s="18" t="n">
        <v>-61.1</v>
      </c>
      <c r="E384" s="18" t="n">
        <v>45</v>
      </c>
      <c r="F384" s="27" t="n">
        <f aca="false">E384*0.5144</f>
        <v>23.148</v>
      </c>
      <c r="G384" s="22" t="e">
        <f aca="false">arclethnm(C383,D383,C384,D384)/6</f>
        <v>#NAME?</v>
      </c>
      <c r="H384" s="22" t="e">
        <f aca="false">G384*0.5144</f>
        <v>#NAME?</v>
      </c>
    </row>
    <row r="385" customFormat="false" ht="12.75" hidden="false" customHeight="false" outlineLevel="0" collapsed="false">
      <c r="A385" s="30" t="n">
        <f aca="false">B385-0.5</f>
        <v>3.5</v>
      </c>
      <c r="B385" s="18" t="n">
        <v>4</v>
      </c>
      <c r="C385" s="18" t="n">
        <v>14.2</v>
      </c>
      <c r="D385" s="18" t="n">
        <v>-61.5</v>
      </c>
      <c r="E385" s="18" t="n">
        <v>50</v>
      </c>
      <c r="F385" s="27" t="n">
        <f aca="false">E385*0.5144</f>
        <v>25.72</v>
      </c>
      <c r="G385" s="22" t="e">
        <f aca="false">arclethnm(C384,D384,C385,D385)/6</f>
        <v>#NAME?</v>
      </c>
      <c r="H385" s="22" t="e">
        <f aca="false">G385*0.5144</f>
        <v>#NAME?</v>
      </c>
    </row>
    <row r="386" customFormat="false" ht="12.75" hidden="false" customHeight="false" outlineLevel="0" collapsed="false">
      <c r="A386" s="30" t="n">
        <f aca="false">B386-0.5</f>
        <v>3.75</v>
      </c>
      <c r="B386" s="18" t="n">
        <v>4.25</v>
      </c>
      <c r="C386" s="18" t="n">
        <v>14.4</v>
      </c>
      <c r="D386" s="18" t="n">
        <v>-61.9</v>
      </c>
      <c r="E386" s="18" t="n">
        <v>55</v>
      </c>
      <c r="F386" s="27" t="n">
        <f aca="false">E386*0.5144</f>
        <v>28.292</v>
      </c>
      <c r="G386" s="22" t="e">
        <f aca="false">arclethnm(C385,D385,C386,D386)/6</f>
        <v>#NAME?</v>
      </c>
      <c r="H386" s="22" t="e">
        <f aca="false">G386*0.5144</f>
        <v>#NAME?</v>
      </c>
    </row>
    <row r="387" customFormat="false" ht="12.75" hidden="false" customHeight="false" outlineLevel="0" collapsed="false">
      <c r="A387" s="30" t="n">
        <f aca="false">B387-0.5</f>
        <v>4</v>
      </c>
      <c r="B387" s="18" t="n">
        <v>4.5</v>
      </c>
      <c r="C387" s="18" t="n">
        <v>14.5</v>
      </c>
      <c r="D387" s="18" t="n">
        <v>-62.2</v>
      </c>
      <c r="E387" s="18" t="n">
        <v>60</v>
      </c>
      <c r="F387" s="27" t="n">
        <f aca="false">E387*0.5144</f>
        <v>30.864</v>
      </c>
      <c r="G387" s="22" t="e">
        <f aca="false">arclethnm(C386,D386,C387,D387)/6</f>
        <v>#NAME?</v>
      </c>
      <c r="H387" s="22" t="e">
        <f aca="false">G387*0.5144</f>
        <v>#NAME?</v>
      </c>
    </row>
    <row r="388" customFormat="false" ht="12.75" hidden="false" customHeight="false" outlineLevel="0" collapsed="false">
      <c r="A388" s="30" t="n">
        <f aca="false">B388-0.5</f>
        <v>4.25</v>
      </c>
      <c r="B388" s="18" t="n">
        <v>4.75</v>
      </c>
      <c r="C388" s="18" t="n">
        <v>14.7</v>
      </c>
      <c r="D388" s="18" t="n">
        <v>-62.9</v>
      </c>
      <c r="E388" s="18" t="n">
        <v>75</v>
      </c>
      <c r="F388" s="27" t="n">
        <f aca="false">E388*0.5144</f>
        <v>38.58</v>
      </c>
      <c r="G388" s="22" t="e">
        <f aca="false">arclethnm(C387,D387,C388,D388)/6</f>
        <v>#NAME?</v>
      </c>
      <c r="H388" s="22" t="e">
        <f aca="false">G388*0.5144</f>
        <v>#NAME?</v>
      </c>
    </row>
    <row r="389" customFormat="false" ht="12.75" hidden="false" customHeight="false" outlineLevel="0" collapsed="false">
      <c r="A389" s="30" t="n">
        <f aca="false">B389-0.5</f>
        <v>4.5</v>
      </c>
      <c r="B389" s="18" t="n">
        <v>5</v>
      </c>
      <c r="C389" s="18" t="n">
        <v>15</v>
      </c>
      <c r="D389" s="18" t="n">
        <v>-63.7</v>
      </c>
      <c r="E389" s="18" t="n">
        <v>80</v>
      </c>
      <c r="F389" s="27" t="n">
        <f aca="false">E389*0.5144</f>
        <v>41.152</v>
      </c>
      <c r="G389" s="22" t="e">
        <f aca="false">arclethnm(C388,D388,C389,D389)/6</f>
        <v>#NAME?</v>
      </c>
      <c r="H389" s="22" t="e">
        <f aca="false">G389*0.5144</f>
        <v>#NAME?</v>
      </c>
    </row>
    <row r="390" customFormat="false" ht="12.75" hidden="false" customHeight="false" outlineLevel="0" collapsed="false">
      <c r="A390" s="30" t="n">
        <f aca="false">B390-0.5</f>
        <v>4.75</v>
      </c>
      <c r="B390" s="18" t="n">
        <v>5.25</v>
      </c>
      <c r="C390" s="18" t="n">
        <v>15.3</v>
      </c>
      <c r="D390" s="18" t="n">
        <v>-64.4</v>
      </c>
      <c r="E390" s="18" t="n">
        <v>90</v>
      </c>
      <c r="F390" s="27" t="n">
        <f aca="false">E390*0.5144</f>
        <v>46.296</v>
      </c>
      <c r="G390" s="22" t="e">
        <f aca="false">arclethnm(C389,D389,C390,D390)/6</f>
        <v>#NAME?</v>
      </c>
      <c r="H390" s="22" t="e">
        <f aca="false">G390*0.5144</f>
        <v>#NAME?</v>
      </c>
    </row>
    <row r="391" customFormat="false" ht="12.75" hidden="false" customHeight="false" outlineLevel="0" collapsed="false">
      <c r="A391" s="30" t="n">
        <f aca="false">B391-0.5</f>
        <v>5</v>
      </c>
      <c r="B391" s="18" t="n">
        <v>5.5</v>
      </c>
      <c r="C391" s="18" t="n">
        <v>15.8</v>
      </c>
      <c r="D391" s="18" t="n">
        <v>-65.1</v>
      </c>
      <c r="E391" s="18" t="n">
        <v>100</v>
      </c>
      <c r="F391" s="27" t="n">
        <f aca="false">E391*0.5144</f>
        <v>51.44</v>
      </c>
      <c r="G391" s="22" t="e">
        <f aca="false">arclethnm(C390,D390,C391,D391)/6</f>
        <v>#NAME?</v>
      </c>
      <c r="H391" s="22" t="e">
        <f aca="false">G391*0.5144</f>
        <v>#NAME?</v>
      </c>
    </row>
    <row r="392" customFormat="false" ht="12.75" hidden="false" customHeight="false" outlineLevel="0" collapsed="false">
      <c r="A392" s="30" t="n">
        <f aca="false">B392-0.5</f>
        <v>5.25</v>
      </c>
      <c r="B392" s="18" t="n">
        <v>5.75</v>
      </c>
      <c r="C392" s="18" t="n">
        <v>16.3</v>
      </c>
      <c r="D392" s="18" t="n">
        <v>-66.1</v>
      </c>
      <c r="E392" s="18" t="n">
        <v>115</v>
      </c>
      <c r="F392" s="27" t="n">
        <f aca="false">E392*0.5144</f>
        <v>59.156</v>
      </c>
      <c r="G392" s="22" t="e">
        <f aca="false">arclethnm(C391,D391,C392,D392)/6</f>
        <v>#NAME?</v>
      </c>
      <c r="H392" s="22" t="e">
        <f aca="false">G392*0.5144</f>
        <v>#NAME?</v>
      </c>
    </row>
    <row r="393" customFormat="false" ht="12.75" hidden="false" customHeight="false" outlineLevel="0" collapsed="false">
      <c r="A393" s="30" t="n">
        <f aca="false">B393-0.5</f>
        <v>5.5</v>
      </c>
      <c r="B393" s="18" t="n">
        <v>6</v>
      </c>
      <c r="C393" s="18" t="n">
        <v>16.8</v>
      </c>
      <c r="D393" s="18" t="n">
        <v>-66.7</v>
      </c>
      <c r="E393" s="18" t="n">
        <v>120</v>
      </c>
      <c r="F393" s="27" t="n">
        <f aca="false">E393*0.5144</f>
        <v>61.728</v>
      </c>
      <c r="G393" s="22" t="e">
        <f aca="false">arclethnm(C392,D392,C393,D393)/6</f>
        <v>#NAME?</v>
      </c>
      <c r="H393" s="22" t="e">
        <f aca="false">G393*0.5144</f>
        <v>#NAME?</v>
      </c>
    </row>
    <row r="394" customFormat="false" ht="12.75" hidden="false" customHeight="false" outlineLevel="0" collapsed="false">
      <c r="A394" s="30" t="n">
        <f aca="false">B394-0.5</f>
        <v>5.75</v>
      </c>
      <c r="B394" s="18" t="n">
        <v>6.25</v>
      </c>
      <c r="C394" s="18" t="n">
        <v>17.3</v>
      </c>
      <c r="D394" s="18" t="n">
        <v>-67.6</v>
      </c>
      <c r="E394" s="18" t="n">
        <v>125</v>
      </c>
      <c r="F394" s="27" t="n">
        <f aca="false">E394*0.5144</f>
        <v>64.3</v>
      </c>
      <c r="G394" s="22" t="e">
        <f aca="false">arclethnm(C393,D393,C394,D394)/6</f>
        <v>#NAME?</v>
      </c>
      <c r="H394" s="22" t="e">
        <f aca="false">G394*0.5144</f>
        <v>#NAME?</v>
      </c>
    </row>
    <row r="395" customFormat="false" ht="12.75" hidden="false" customHeight="false" outlineLevel="0" collapsed="false">
      <c r="A395" s="30" t="n">
        <f aca="false">B395-0.5</f>
        <v>6</v>
      </c>
      <c r="B395" s="18" t="n">
        <v>6.5</v>
      </c>
      <c r="C395" s="18" t="n">
        <v>17.5</v>
      </c>
      <c r="D395" s="18" t="n">
        <v>-68.2</v>
      </c>
      <c r="E395" s="18" t="n">
        <v>130</v>
      </c>
      <c r="F395" s="27" t="n">
        <f aca="false">E395*0.5144</f>
        <v>66.872</v>
      </c>
      <c r="G395" s="22" t="e">
        <f aca="false">arclethnm(C394,D394,C395,D395)/6</f>
        <v>#NAME?</v>
      </c>
      <c r="H395" s="22" t="e">
        <f aca="false">G395*0.5144</f>
        <v>#NAME?</v>
      </c>
    </row>
    <row r="396" customFormat="false" ht="12.75" hidden="false" customHeight="false" outlineLevel="0" collapsed="false">
      <c r="A396" s="30" t="n">
        <f aca="false">B396-0.5</f>
        <v>6.25</v>
      </c>
      <c r="B396" s="18" t="n">
        <v>6.75</v>
      </c>
      <c r="C396" s="18" t="n">
        <v>17.6</v>
      </c>
      <c r="D396" s="18" t="n">
        <v>-69</v>
      </c>
      <c r="E396" s="18" t="n">
        <v>120</v>
      </c>
      <c r="F396" s="27" t="n">
        <f aca="false">E396*0.5144</f>
        <v>61.728</v>
      </c>
      <c r="G396" s="22" t="e">
        <f aca="false">arclethnm(C395,D395,C396,D396)/6</f>
        <v>#NAME?</v>
      </c>
      <c r="H396" s="22" t="e">
        <f aca="false">G396*0.5144</f>
        <v>#NAME?</v>
      </c>
    </row>
    <row r="397" customFormat="false" ht="12.75" hidden="false" customHeight="false" outlineLevel="0" collapsed="false">
      <c r="A397" s="30" t="n">
        <f aca="false">B397-0.5</f>
        <v>6.5</v>
      </c>
      <c r="B397" s="18" t="n">
        <v>7</v>
      </c>
      <c r="C397" s="18" t="n">
        <v>17.7</v>
      </c>
      <c r="D397" s="18" t="n">
        <v>-69.9</v>
      </c>
      <c r="E397" s="18" t="n">
        <v>110</v>
      </c>
      <c r="F397" s="27" t="n">
        <f aca="false">E397*0.5144</f>
        <v>56.584</v>
      </c>
      <c r="G397" s="22" t="e">
        <f aca="false">arclethnm(C396,D396,C397,D397)/6</f>
        <v>#NAME?</v>
      </c>
      <c r="H397" s="22" t="e">
        <f aca="false">G397*0.5144</f>
        <v>#NAME?</v>
      </c>
    </row>
    <row r="398" customFormat="false" ht="12.75" hidden="false" customHeight="false" outlineLevel="0" collapsed="false">
      <c r="A398" s="30" t="n">
        <f aca="false">B398-0.5</f>
        <v>6.75</v>
      </c>
      <c r="B398" s="18" t="n">
        <v>7.25</v>
      </c>
      <c r="C398" s="18" t="n">
        <v>17.7</v>
      </c>
      <c r="D398" s="18" t="n">
        <v>-70.8</v>
      </c>
      <c r="E398" s="18" t="n">
        <v>80</v>
      </c>
      <c r="F398" s="27" t="n">
        <f aca="false">E398*0.5144</f>
        <v>41.152</v>
      </c>
      <c r="G398" s="22" t="e">
        <f aca="false">arclethnm(C397,D397,C398,D398)/6</f>
        <v>#NAME?</v>
      </c>
      <c r="H398" s="22" t="e">
        <f aca="false">G398*0.5144</f>
        <v>#NAME?</v>
      </c>
    </row>
    <row r="399" customFormat="false" ht="12.75" hidden="false" customHeight="false" outlineLevel="0" collapsed="false">
      <c r="A399" s="30" t="n">
        <f aca="false">B399-0.5</f>
        <v>7</v>
      </c>
      <c r="B399" s="18" t="n">
        <v>7.5</v>
      </c>
      <c r="C399" s="18" t="n">
        <v>17.7</v>
      </c>
      <c r="D399" s="18" t="n">
        <v>-71.5</v>
      </c>
      <c r="E399" s="18" t="n">
        <v>75</v>
      </c>
      <c r="F399" s="27" t="n">
        <f aca="false">E399*0.5144</f>
        <v>38.58</v>
      </c>
      <c r="G399" s="22" t="e">
        <f aca="false">arclethnm(C398,D398,C399,D399)/6</f>
        <v>#NAME?</v>
      </c>
      <c r="H399" s="22" t="e">
        <f aca="false">G399*0.5144</f>
        <v>#NAME?</v>
      </c>
    </row>
    <row r="400" customFormat="false" ht="12.75" hidden="false" customHeight="false" outlineLevel="0" collapsed="false">
      <c r="A400" s="30" t="n">
        <f aca="false">B400-0.5</f>
        <v>7.25</v>
      </c>
      <c r="B400" s="18" t="n">
        <v>7.75</v>
      </c>
      <c r="C400" s="18" t="n">
        <v>17.6</v>
      </c>
      <c r="D400" s="18" t="n">
        <v>-72.6</v>
      </c>
      <c r="E400" s="18" t="n">
        <v>80</v>
      </c>
      <c r="F400" s="27" t="n">
        <f aca="false">E400*0.5144</f>
        <v>41.152</v>
      </c>
      <c r="G400" s="22" t="e">
        <f aca="false">arclethnm(C399,D399,C400,D400)/6</f>
        <v>#NAME?</v>
      </c>
      <c r="H400" s="22" t="e">
        <f aca="false">G400*0.5144</f>
        <v>#NAME?</v>
      </c>
    </row>
    <row r="401" customFormat="false" ht="12.75" hidden="false" customHeight="false" outlineLevel="0" collapsed="false">
      <c r="A401" s="30" t="n">
        <f aca="false">B401-0.5</f>
        <v>7.5</v>
      </c>
      <c r="B401" s="18" t="n">
        <v>8</v>
      </c>
      <c r="C401" s="18" t="n">
        <v>17.6</v>
      </c>
      <c r="D401" s="18" t="n">
        <v>-73.3</v>
      </c>
      <c r="E401" s="18" t="n">
        <v>65</v>
      </c>
      <c r="F401" s="27" t="n">
        <f aca="false">E401*0.5144</f>
        <v>33.436</v>
      </c>
      <c r="G401" s="22" t="e">
        <f aca="false">arclethnm(C400,D400,C401,D401)/6</f>
        <v>#NAME?</v>
      </c>
      <c r="H401" s="22" t="e">
        <f aca="false">G401*0.5144</f>
        <v>#NAME?</v>
      </c>
    </row>
    <row r="402" customFormat="false" ht="12.75" hidden="false" customHeight="false" outlineLevel="0" collapsed="false">
      <c r="A402" s="30" t="n">
        <f aca="false">B402-0.5</f>
        <v>7.75</v>
      </c>
      <c r="B402" s="18" t="n">
        <v>8.25</v>
      </c>
      <c r="C402" s="18" t="n">
        <v>17.5</v>
      </c>
      <c r="D402" s="18" t="n">
        <v>-74.1</v>
      </c>
      <c r="E402" s="18" t="n">
        <v>65</v>
      </c>
      <c r="F402" s="27" t="n">
        <f aca="false">E402*0.5144</f>
        <v>33.436</v>
      </c>
      <c r="G402" s="22" t="e">
        <f aca="false">arclethnm(C401,D401,C402,D402)/6</f>
        <v>#NAME?</v>
      </c>
      <c r="H402" s="22" t="e">
        <f aca="false">G402*0.5144</f>
        <v>#NAME?</v>
      </c>
    </row>
    <row r="403" customFormat="false" ht="12.75" hidden="false" customHeight="false" outlineLevel="0" collapsed="false">
      <c r="A403" s="30" t="n">
        <f aca="false">B403-0.5</f>
        <v>8</v>
      </c>
      <c r="B403" s="18" t="n">
        <v>8.5</v>
      </c>
      <c r="C403" s="18" t="n">
        <v>17.3</v>
      </c>
      <c r="D403" s="18" t="n">
        <v>-75.1</v>
      </c>
      <c r="E403" s="18" t="n">
        <v>60</v>
      </c>
      <c r="F403" s="27" t="n">
        <f aca="false">E403*0.5144</f>
        <v>30.864</v>
      </c>
      <c r="G403" s="22" t="e">
        <f aca="false">arclethnm(C402,D402,C403,D403)/6</f>
        <v>#NAME?</v>
      </c>
      <c r="H403" s="22" t="e">
        <f aca="false">G403*0.5144</f>
        <v>#NAME?</v>
      </c>
    </row>
    <row r="404" customFormat="false" ht="12.75" hidden="false" customHeight="false" outlineLevel="0" collapsed="false">
      <c r="A404" s="30" t="n">
        <f aca="false">B404-0.5</f>
        <v>8.25</v>
      </c>
      <c r="B404" s="18" t="n">
        <v>8.75</v>
      </c>
      <c r="C404" s="18" t="n">
        <v>16.5</v>
      </c>
      <c r="D404" s="18" t="n">
        <v>-76.2</v>
      </c>
      <c r="E404" s="18" t="n">
        <v>50</v>
      </c>
      <c r="F404" s="27" t="n">
        <f aca="false">E404*0.5144</f>
        <v>25.72</v>
      </c>
      <c r="G404" s="22" t="e">
        <f aca="false">arclethnm(C403,D403,C404,D404)/6</f>
        <v>#NAME?</v>
      </c>
      <c r="H404" s="22" t="e">
        <f aca="false">G404*0.5144</f>
        <v>#NAME?</v>
      </c>
    </row>
    <row r="405" customFormat="false" ht="12.75" hidden="false" customHeight="false" outlineLevel="0" collapsed="false">
      <c r="A405" s="30" t="n">
        <f aca="false">B405-0.5</f>
        <v>8.5</v>
      </c>
      <c r="B405" s="18" t="n">
        <v>9</v>
      </c>
      <c r="C405" s="18" t="n">
        <v>16.2</v>
      </c>
      <c r="D405" s="18" t="n">
        <v>-76.8</v>
      </c>
      <c r="E405" s="18" t="n">
        <v>50</v>
      </c>
      <c r="F405" s="27" t="n">
        <f aca="false">E405*0.5144</f>
        <v>25.72</v>
      </c>
      <c r="G405" s="22" t="e">
        <f aca="false">arclethnm(C404,D404,C405,D405)/6</f>
        <v>#NAME?</v>
      </c>
      <c r="H405" s="22" t="e">
        <f aca="false">G405*0.5144</f>
        <v>#NAME?</v>
      </c>
    </row>
    <row r="406" customFormat="false" ht="12.75" hidden="false" customHeight="false" outlineLevel="0" collapsed="false">
      <c r="A406" s="30" t="n">
        <f aca="false">B406-0.5</f>
        <v>8.75</v>
      </c>
      <c r="B406" s="18" t="n">
        <v>9.25</v>
      </c>
      <c r="C406" s="18" t="n">
        <v>16</v>
      </c>
      <c r="D406" s="18" t="n">
        <v>-77.3</v>
      </c>
      <c r="E406" s="18" t="n">
        <v>50</v>
      </c>
      <c r="F406" s="27" t="n">
        <f aca="false">E406*0.5144</f>
        <v>25.72</v>
      </c>
      <c r="G406" s="22" t="e">
        <f aca="false">arclethnm(C405,D405,C406,D406)/6</f>
        <v>#NAME?</v>
      </c>
      <c r="H406" s="22" t="e">
        <f aca="false">G406*0.5144</f>
        <v>#NAME?</v>
      </c>
    </row>
    <row r="407" customFormat="false" ht="12.75" hidden="false" customHeight="false" outlineLevel="0" collapsed="false">
      <c r="A407" s="30" t="n">
        <f aca="false">B407-0.5</f>
        <v>9</v>
      </c>
      <c r="B407" s="18" t="n">
        <v>9.5</v>
      </c>
      <c r="C407" s="18" t="n">
        <v>15.8</v>
      </c>
      <c r="D407" s="18" t="n">
        <v>-77.8</v>
      </c>
      <c r="E407" s="18" t="n">
        <v>50</v>
      </c>
      <c r="F407" s="27" t="n">
        <f aca="false">E407*0.5144</f>
        <v>25.72</v>
      </c>
      <c r="G407" s="22" t="e">
        <f aca="false">arclethnm(C406,D406,C407,D407)/6</f>
        <v>#NAME?</v>
      </c>
      <c r="H407" s="22" t="e">
        <f aca="false">G407*0.5144</f>
        <v>#NAME?</v>
      </c>
    </row>
    <row r="408" customFormat="false" ht="12.75" hidden="false" customHeight="false" outlineLevel="0" collapsed="false">
      <c r="A408" s="30" t="n">
        <f aca="false">B408-0.5</f>
        <v>9.25</v>
      </c>
      <c r="B408" s="18" t="n">
        <v>9.75</v>
      </c>
      <c r="C408" s="18" t="n">
        <v>15.8</v>
      </c>
      <c r="D408" s="18" t="n">
        <v>-78.1</v>
      </c>
      <c r="E408" s="18" t="n">
        <v>50</v>
      </c>
      <c r="F408" s="27" t="n">
        <f aca="false">E408*0.5144</f>
        <v>25.72</v>
      </c>
      <c r="G408" s="22" t="e">
        <f aca="false">arclethnm(C407,D407,C408,D408)/6</f>
        <v>#NAME?</v>
      </c>
      <c r="H408" s="22" t="e">
        <f aca="false">G408*0.5144</f>
        <v>#NAME?</v>
      </c>
    </row>
    <row r="409" customFormat="false" ht="12.75" hidden="false" customHeight="false" outlineLevel="0" collapsed="false">
      <c r="A409" s="30" t="n">
        <f aca="false">B409-0.5</f>
        <v>9.5</v>
      </c>
      <c r="B409" s="18" t="n">
        <v>10</v>
      </c>
      <c r="C409" s="18" t="n">
        <v>15.9</v>
      </c>
      <c r="D409" s="18" t="n">
        <v>-78.5</v>
      </c>
      <c r="E409" s="18" t="n">
        <v>55</v>
      </c>
      <c r="F409" s="27" t="n">
        <f aca="false">E409*0.5144</f>
        <v>28.292</v>
      </c>
      <c r="G409" s="22" t="e">
        <f aca="false">arclethnm(C408,D408,C409,D409)/6</f>
        <v>#NAME?</v>
      </c>
      <c r="H409" s="22" t="e">
        <f aca="false">G409*0.5144</f>
        <v>#NAME?</v>
      </c>
    </row>
    <row r="410" customFormat="false" ht="12.75" hidden="false" customHeight="false" outlineLevel="0" collapsed="false">
      <c r="A410" s="30" t="n">
        <f aca="false">B410-0.5</f>
        <v>9.75</v>
      </c>
      <c r="B410" s="18" t="n">
        <v>10.25</v>
      </c>
      <c r="C410" s="18" t="n">
        <v>16</v>
      </c>
      <c r="D410" s="18" t="n">
        <v>-79</v>
      </c>
      <c r="E410" s="18" t="n">
        <v>60</v>
      </c>
      <c r="F410" s="27" t="n">
        <f aca="false">E410*0.5144</f>
        <v>30.864</v>
      </c>
      <c r="G410" s="22" t="e">
        <f aca="false">arclethnm(C409,D409,C410,D410)/6</f>
        <v>#NAME?</v>
      </c>
      <c r="H410" s="22" t="e">
        <f aca="false">G410*0.5144</f>
        <v>#NAME?</v>
      </c>
    </row>
    <row r="411" customFormat="false" ht="12.75" hidden="false" customHeight="false" outlineLevel="0" collapsed="false">
      <c r="A411" s="30" t="n">
        <f aca="false">B411-0.5</f>
        <v>10</v>
      </c>
      <c r="B411" s="18" t="n">
        <v>10.5</v>
      </c>
      <c r="C411" s="18" t="n">
        <v>16.3</v>
      </c>
      <c r="D411" s="18" t="n">
        <v>-79.5</v>
      </c>
      <c r="E411" s="18" t="n">
        <v>75</v>
      </c>
      <c r="F411" s="27" t="n">
        <f aca="false">E411*0.5144</f>
        <v>38.58</v>
      </c>
      <c r="G411" s="22" t="e">
        <f aca="false">arclethnm(C410,D410,C411,D411)/6</f>
        <v>#NAME?</v>
      </c>
      <c r="H411" s="22" t="e">
        <f aca="false">G411*0.5144</f>
        <v>#NAME?</v>
      </c>
    </row>
    <row r="412" customFormat="false" ht="12.75" hidden="false" customHeight="false" outlineLevel="0" collapsed="false">
      <c r="A412" s="30" t="n">
        <f aca="false">B412-0.5</f>
        <v>10.25</v>
      </c>
      <c r="B412" s="18" t="n">
        <v>10.75</v>
      </c>
      <c r="C412" s="18" t="n">
        <v>16.8</v>
      </c>
      <c r="D412" s="18" t="n">
        <v>-80.1</v>
      </c>
      <c r="E412" s="18" t="n">
        <v>90</v>
      </c>
      <c r="F412" s="27" t="n">
        <f aca="false">E412*0.5144</f>
        <v>46.296</v>
      </c>
      <c r="G412" s="22" t="e">
        <f aca="false">arclethnm(C411,D411,C412,D412)/6</f>
        <v>#NAME?</v>
      </c>
      <c r="H412" s="22" t="e">
        <f aca="false">G412*0.5144</f>
        <v>#NAME?</v>
      </c>
    </row>
    <row r="413" customFormat="false" ht="12.75" hidden="false" customHeight="false" outlineLevel="0" collapsed="false">
      <c r="A413" s="30" t="n">
        <f aca="false">B413-0.5</f>
        <v>10.5</v>
      </c>
      <c r="B413" s="18" t="n">
        <v>11</v>
      </c>
      <c r="C413" s="18" t="n">
        <v>17.3</v>
      </c>
      <c r="D413" s="18" t="n">
        <v>-81</v>
      </c>
      <c r="E413" s="18" t="n">
        <v>100</v>
      </c>
      <c r="F413" s="27" t="n">
        <f aca="false">E413*0.5144</f>
        <v>51.44</v>
      </c>
      <c r="G413" s="22" t="e">
        <f aca="false">arclethnm(C412,D412,C413,D413)/6</f>
        <v>#NAME?</v>
      </c>
      <c r="H413" s="22" t="e">
        <f aca="false">G413*0.5144</f>
        <v>#NAME?</v>
      </c>
    </row>
    <row r="414" customFormat="false" ht="12.75" hidden="false" customHeight="false" outlineLevel="0" collapsed="false">
      <c r="A414" s="30" t="n">
        <f aca="false">B414-0.5</f>
        <v>10.75</v>
      </c>
      <c r="B414" s="18" t="n">
        <v>11.25</v>
      </c>
      <c r="C414" s="18" t="n">
        <v>17.6</v>
      </c>
      <c r="D414" s="18" t="n">
        <v>-81.6</v>
      </c>
      <c r="E414" s="18" t="n">
        <v>100</v>
      </c>
      <c r="F414" s="27" t="n">
        <f aca="false">E414*0.5144</f>
        <v>51.44</v>
      </c>
      <c r="G414" s="22" t="e">
        <f aca="false">arclethnm(C413,D413,C414,D414)/6</f>
        <v>#NAME?</v>
      </c>
      <c r="H414" s="22" t="e">
        <f aca="false">G414*0.5144</f>
        <v>#NAME?</v>
      </c>
    </row>
    <row r="415" customFormat="false" ht="12.75" hidden="false" customHeight="false" outlineLevel="0" collapsed="false">
      <c r="A415" s="30" t="n">
        <f aca="false">B415-0.5</f>
        <v>11</v>
      </c>
      <c r="B415" s="18" t="n">
        <v>11.5</v>
      </c>
      <c r="C415" s="18" t="n">
        <v>18</v>
      </c>
      <c r="D415" s="18" t="n">
        <v>-82.4</v>
      </c>
      <c r="E415" s="18" t="n">
        <v>100</v>
      </c>
      <c r="F415" s="27" t="n">
        <f aca="false">E415*0.5144</f>
        <v>51.44</v>
      </c>
      <c r="G415" s="22" t="e">
        <f aca="false">arclethnm(C414,D414,C415,D415)/6</f>
        <v>#NAME?</v>
      </c>
      <c r="H415" s="22" t="e">
        <f aca="false">G415*0.5144</f>
        <v>#NAME?</v>
      </c>
    </row>
    <row r="416" customFormat="false" ht="12.75" hidden="false" customHeight="false" outlineLevel="0" collapsed="false">
      <c r="A416" s="30" t="n">
        <f aca="false">B416-0.5</f>
        <v>11.25</v>
      </c>
      <c r="B416" s="18" t="n">
        <v>11.75</v>
      </c>
      <c r="C416" s="18" t="n">
        <v>18.5</v>
      </c>
      <c r="D416" s="18" t="n">
        <v>-83.3</v>
      </c>
      <c r="E416" s="18" t="n">
        <v>100</v>
      </c>
      <c r="F416" s="27" t="n">
        <f aca="false">E416*0.5144</f>
        <v>51.44</v>
      </c>
      <c r="G416" s="22" t="e">
        <f aca="false">arclethnm(C415,D415,C416,D416)/6</f>
        <v>#NAME?</v>
      </c>
      <c r="H416" s="22" t="e">
        <f aca="false">G416*0.5144</f>
        <v>#NAME?</v>
      </c>
    </row>
    <row r="417" customFormat="false" ht="12.75" hidden="false" customHeight="false" outlineLevel="0" collapsed="false">
      <c r="A417" s="30" t="n">
        <f aca="false">B417-0.5</f>
        <v>11.5</v>
      </c>
      <c r="B417" s="18" t="n">
        <v>12</v>
      </c>
      <c r="C417" s="18" t="n">
        <v>18.7</v>
      </c>
      <c r="D417" s="18" t="n">
        <v>-83.7</v>
      </c>
      <c r="E417" s="18" t="n">
        <v>100</v>
      </c>
      <c r="F417" s="27" t="n">
        <f aca="false">E417*0.5144</f>
        <v>51.44</v>
      </c>
      <c r="G417" s="22" t="e">
        <f aca="false">arclethnm(C416,D416,C417,D417)/6</f>
        <v>#NAME?</v>
      </c>
      <c r="H417" s="22" t="e">
        <f aca="false">G417*0.5144</f>
        <v>#NAME?</v>
      </c>
    </row>
    <row r="418" customFormat="false" ht="12.75" hidden="false" customHeight="false" outlineLevel="0" collapsed="false">
      <c r="A418" s="30" t="n">
        <f aca="false">B418-0.5</f>
        <v>11.75</v>
      </c>
      <c r="B418" s="18" t="n">
        <v>12.25</v>
      </c>
      <c r="C418" s="18" t="n">
        <v>19.2</v>
      </c>
      <c r="D418" s="18" t="n">
        <v>-84.4</v>
      </c>
      <c r="E418" s="18" t="n">
        <v>100</v>
      </c>
      <c r="F418" s="27" t="n">
        <f aca="false">E418*0.5144</f>
        <v>51.44</v>
      </c>
      <c r="G418" s="22" t="e">
        <f aca="false">arclethnm(C417,D417,C418,D418)/6</f>
        <v>#NAME?</v>
      </c>
      <c r="H418" s="22" t="e">
        <f aca="false">G418*0.5144</f>
        <v>#NAME?</v>
      </c>
    </row>
    <row r="419" customFormat="false" ht="12.75" hidden="false" customHeight="false" outlineLevel="0" collapsed="false">
      <c r="A419" s="30" t="n">
        <f aca="false">B419-0.5</f>
        <v>12</v>
      </c>
      <c r="B419" s="18" t="n">
        <v>12.5</v>
      </c>
      <c r="C419" s="18" t="n">
        <v>19.6</v>
      </c>
      <c r="D419" s="18" t="n">
        <v>-85.1</v>
      </c>
      <c r="E419" s="18" t="n">
        <v>100</v>
      </c>
      <c r="F419" s="27" t="n">
        <f aca="false">E419*0.5144</f>
        <v>51.44</v>
      </c>
      <c r="G419" s="22" t="e">
        <f aca="false">arclethnm(C418,D418,C419,D419)/6</f>
        <v>#NAME?</v>
      </c>
      <c r="H419" s="22" t="e">
        <f aca="false">G419*0.5144</f>
        <v>#NAME?</v>
      </c>
    </row>
    <row r="420" customFormat="false" ht="12.75" hidden="false" customHeight="false" outlineLevel="0" collapsed="false">
      <c r="A420" s="30" t="n">
        <f aca="false">B420-0.5</f>
        <v>12.25</v>
      </c>
      <c r="B420" s="18" t="n">
        <v>12.75</v>
      </c>
      <c r="C420" s="18" t="n">
        <v>19.9</v>
      </c>
      <c r="D420" s="18" t="n">
        <v>-85.6</v>
      </c>
      <c r="E420" s="18" t="n">
        <v>100</v>
      </c>
      <c r="F420" s="27" t="n">
        <f aca="false">E420*0.5144</f>
        <v>51.44</v>
      </c>
      <c r="G420" s="22" t="e">
        <f aca="false">arclethnm(C419,D419,C420,D420)/6</f>
        <v>#NAME?</v>
      </c>
      <c r="H420" s="22" t="e">
        <f aca="false">G420*0.5144</f>
        <v>#NAME?</v>
      </c>
    </row>
    <row r="421" customFormat="false" ht="12.75" hidden="false" customHeight="false" outlineLevel="0" collapsed="false">
      <c r="A421" s="30" t="n">
        <f aca="false">B421-0.5</f>
        <v>12.5</v>
      </c>
      <c r="B421" s="18" t="n">
        <v>13</v>
      </c>
      <c r="C421" s="18" t="n">
        <v>20.2</v>
      </c>
      <c r="D421" s="18" t="n">
        <v>-86.2</v>
      </c>
      <c r="E421" s="18" t="n">
        <v>95</v>
      </c>
      <c r="F421" s="27" t="n">
        <f aca="false">E421*0.5144</f>
        <v>48.868</v>
      </c>
      <c r="G421" s="22" t="e">
        <f aca="false">arclethnm(C420,D420,C421,D421)/6</f>
        <v>#NAME?</v>
      </c>
      <c r="H421" s="22" t="e">
        <f aca="false">G421*0.5144</f>
        <v>#NAME?</v>
      </c>
    </row>
    <row r="422" customFormat="false" ht="12.75" hidden="false" customHeight="false" outlineLevel="0" collapsed="false">
      <c r="A422" s="30" t="n">
        <f aca="false">B422-0.5</f>
        <v>12.75</v>
      </c>
      <c r="B422" s="18" t="n">
        <v>13.25</v>
      </c>
      <c r="C422" s="18" t="n">
        <v>20.6</v>
      </c>
      <c r="D422" s="18" t="n">
        <v>-87.2</v>
      </c>
      <c r="E422" s="18" t="n">
        <v>90</v>
      </c>
      <c r="F422" s="27" t="n">
        <f aca="false">E422*0.5144</f>
        <v>46.296</v>
      </c>
      <c r="G422" s="22" t="e">
        <f aca="false">arclethnm(C421,D421,C422,D422)/6</f>
        <v>#NAME?</v>
      </c>
      <c r="H422" s="22" t="e">
        <f aca="false">G422*0.5144</f>
        <v>#NAME?</v>
      </c>
    </row>
    <row r="423" customFormat="false" ht="12.75" hidden="false" customHeight="false" outlineLevel="0" collapsed="false">
      <c r="A423" s="30" t="n">
        <f aca="false">B423-0.5</f>
        <v>13</v>
      </c>
      <c r="B423" s="18" t="n">
        <v>13.5</v>
      </c>
      <c r="C423" s="18" t="n">
        <v>21</v>
      </c>
      <c r="D423" s="18" t="n">
        <v>-88.5</v>
      </c>
      <c r="E423" s="18" t="n">
        <v>85</v>
      </c>
      <c r="F423" s="27" t="n">
        <f aca="false">E423*0.5144</f>
        <v>43.724</v>
      </c>
      <c r="G423" s="22" t="e">
        <f aca="false">arclethnm(C422,D422,C423,D423)/6</f>
        <v>#NAME?</v>
      </c>
      <c r="H423" s="22" t="e">
        <f aca="false">G423*0.5144</f>
        <v>#NAME?</v>
      </c>
    </row>
    <row r="424" customFormat="false" ht="12.75" hidden="false" customHeight="false" outlineLevel="0" collapsed="false">
      <c r="A424" s="30" t="n">
        <f aca="false">B424-0.5</f>
        <v>13.25</v>
      </c>
      <c r="B424" s="18" t="n">
        <v>13.75</v>
      </c>
      <c r="C424" s="18" t="n">
        <v>21.2</v>
      </c>
      <c r="D424" s="18" t="n">
        <v>-89.4</v>
      </c>
      <c r="E424" s="18" t="n">
        <v>85</v>
      </c>
      <c r="F424" s="27" t="n">
        <f aca="false">E424*0.5144</f>
        <v>43.724</v>
      </c>
      <c r="G424" s="22" t="e">
        <f aca="false">arclethnm(C423,D423,C424,D424)/6</f>
        <v>#NAME?</v>
      </c>
      <c r="H424" s="22" t="e">
        <f aca="false">G424*0.5144</f>
        <v>#NAME?</v>
      </c>
    </row>
    <row r="425" customFormat="false" ht="12.75" hidden="false" customHeight="false" outlineLevel="0" collapsed="false">
      <c r="A425" s="30" t="n">
        <f aca="false">B425-0.5</f>
        <v>13.5</v>
      </c>
      <c r="B425" s="18" t="n">
        <v>14</v>
      </c>
      <c r="C425" s="18" t="n">
        <v>21.5</v>
      </c>
      <c r="D425" s="18" t="n">
        <v>-90.6</v>
      </c>
      <c r="E425" s="18" t="n">
        <v>90</v>
      </c>
      <c r="F425" s="27" t="n">
        <f aca="false">E425*0.5144</f>
        <v>46.296</v>
      </c>
      <c r="G425" s="22" t="e">
        <f aca="false">arclethnm(C424,D424,C425,D425)/6</f>
        <v>#NAME?</v>
      </c>
      <c r="H425" s="22" t="e">
        <f aca="false">G425*0.5144</f>
        <v>#NAME?</v>
      </c>
    </row>
    <row r="426" customFormat="false" ht="12.75" hidden="false" customHeight="false" outlineLevel="0" collapsed="false">
      <c r="A426" s="30" t="n">
        <f aca="false">B426-0.5</f>
        <v>13.75</v>
      </c>
      <c r="B426" s="18" t="n">
        <v>14.25</v>
      </c>
      <c r="C426" s="18" t="n">
        <v>21.6</v>
      </c>
      <c r="D426" s="18" t="n">
        <v>-91.8</v>
      </c>
      <c r="E426" s="18" t="n">
        <v>95</v>
      </c>
      <c r="F426" s="27" t="n">
        <f aca="false">E426*0.5144</f>
        <v>48.868</v>
      </c>
      <c r="G426" s="22" t="e">
        <f aca="false">arclethnm(C425,D425,C426,D426)/6</f>
        <v>#NAME?</v>
      </c>
      <c r="H426" s="22" t="e">
        <f aca="false">G426*0.5144</f>
        <v>#NAME?</v>
      </c>
    </row>
    <row r="427" customFormat="false" ht="12.75" hidden="false" customHeight="false" outlineLevel="0" collapsed="false">
      <c r="A427" s="30" t="n">
        <f aca="false">B427-0.5</f>
        <v>14</v>
      </c>
      <c r="B427" s="18" t="n">
        <v>14.5</v>
      </c>
      <c r="C427" s="18" t="n">
        <v>21.8</v>
      </c>
      <c r="D427" s="18" t="n">
        <v>-92.7</v>
      </c>
      <c r="E427" s="18" t="n">
        <v>95</v>
      </c>
      <c r="F427" s="27" t="n">
        <f aca="false">E427*0.5144</f>
        <v>48.868</v>
      </c>
      <c r="G427" s="22" t="e">
        <f aca="false">arclethnm(C426,D426,C427,D427)/6</f>
        <v>#NAME?</v>
      </c>
      <c r="H427" s="22" t="e">
        <f aca="false">G427*0.5144</f>
        <v>#NAME?</v>
      </c>
    </row>
    <row r="428" customFormat="false" ht="12.75" hidden="false" customHeight="false" outlineLevel="0" collapsed="false">
      <c r="A428" s="30" t="n">
        <f aca="false">B428-0.5</f>
        <v>14.25</v>
      </c>
      <c r="B428" s="18" t="n">
        <v>14.75</v>
      </c>
      <c r="C428" s="18" t="n">
        <v>22.1</v>
      </c>
      <c r="D428" s="18" t="n">
        <v>-93.7</v>
      </c>
      <c r="E428" s="18" t="n">
        <v>100</v>
      </c>
      <c r="F428" s="27" t="n">
        <f aca="false">E428*0.5144</f>
        <v>51.44</v>
      </c>
      <c r="G428" s="22" t="e">
        <f aca="false">arclethnm(C427,D427,C428,D428)/6</f>
        <v>#NAME?</v>
      </c>
      <c r="H428" s="22" t="e">
        <f aca="false">G428*0.5144</f>
        <v>#NAME?</v>
      </c>
    </row>
    <row r="429" customFormat="false" ht="12.75" hidden="false" customHeight="false" outlineLevel="0" collapsed="false">
      <c r="A429" s="30" t="n">
        <f aca="false">B429-0.5</f>
        <v>14.5</v>
      </c>
      <c r="B429" s="18" t="n">
        <v>15</v>
      </c>
      <c r="C429" s="18" t="n">
        <v>22.4</v>
      </c>
      <c r="D429" s="18" t="n">
        <v>-94.2</v>
      </c>
      <c r="E429" s="18" t="n">
        <v>105</v>
      </c>
      <c r="F429" s="27" t="n">
        <f aca="false">E429*0.5144</f>
        <v>54.012</v>
      </c>
      <c r="G429" s="22" t="e">
        <f aca="false">arclethnm(C428,D428,C429,D429)/6</f>
        <v>#NAME?</v>
      </c>
      <c r="H429" s="22" t="e">
        <f aca="false">G429*0.5144</f>
        <v>#NAME?</v>
      </c>
    </row>
    <row r="430" customFormat="false" ht="12.75" hidden="false" customHeight="false" outlineLevel="0" collapsed="false">
      <c r="A430" s="30" t="n">
        <f aca="false">B430-0.5</f>
        <v>14.75</v>
      </c>
      <c r="B430" s="18" t="n">
        <v>15.25</v>
      </c>
      <c r="C430" s="18" t="n">
        <v>22.8</v>
      </c>
      <c r="D430" s="18" t="n">
        <v>-94.8</v>
      </c>
      <c r="E430" s="18" t="n">
        <v>110</v>
      </c>
      <c r="F430" s="27" t="n">
        <f aca="false">E430*0.5144</f>
        <v>56.584</v>
      </c>
      <c r="G430" s="22" t="e">
        <f aca="false">arclethnm(C429,D429,C430,D430)/6</f>
        <v>#NAME?</v>
      </c>
      <c r="H430" s="22" t="e">
        <f aca="false">G430*0.5144</f>
        <v>#NAME?</v>
      </c>
    </row>
    <row r="431" customFormat="false" ht="12.75" hidden="false" customHeight="false" outlineLevel="0" collapsed="false">
      <c r="A431" s="30" t="n">
        <f aca="false">B431-0.5</f>
        <v>15</v>
      </c>
      <c r="B431" s="18" t="n">
        <v>15.5</v>
      </c>
      <c r="C431" s="18" t="n">
        <v>23.5</v>
      </c>
      <c r="D431" s="18" t="n">
        <v>-95.7</v>
      </c>
      <c r="E431" s="18" t="n">
        <v>125</v>
      </c>
      <c r="F431" s="27" t="n">
        <f aca="false">E431*0.5144</f>
        <v>64.3</v>
      </c>
      <c r="G431" s="22" t="e">
        <f aca="false">arclethnm(C430,D430,C431,D431)/6</f>
        <v>#NAME?</v>
      </c>
      <c r="H431" s="22" t="e">
        <f aca="false">G431*0.5144</f>
        <v>#NAME?</v>
      </c>
    </row>
    <row r="432" customFormat="false" ht="12.75" hidden="false" customHeight="false" outlineLevel="0" collapsed="false">
      <c r="A432" s="30" t="n">
        <f aca="false">B432-0.5</f>
        <v>15.25</v>
      </c>
      <c r="B432" s="18" t="n">
        <v>15.75</v>
      </c>
      <c r="C432" s="18" t="n">
        <v>23.9</v>
      </c>
      <c r="D432" s="18" t="n">
        <v>-96</v>
      </c>
      <c r="E432" s="18" t="n">
        <v>135</v>
      </c>
      <c r="F432" s="27" t="n">
        <f aca="false">E432*0.5144</f>
        <v>69.444</v>
      </c>
      <c r="G432" s="22" t="e">
        <f aca="false">arclethnm(C431,D431,C432,D432)/6</f>
        <v>#NAME?</v>
      </c>
      <c r="H432" s="22" t="e">
        <f aca="false">G432*0.5144</f>
        <v>#NAME?</v>
      </c>
    </row>
    <row r="433" customFormat="false" ht="12.75" hidden="false" customHeight="false" outlineLevel="0" collapsed="false">
      <c r="A433" s="30" t="n">
        <f aca="false">B433-0.5</f>
        <v>15.5</v>
      </c>
      <c r="B433" s="18" t="n">
        <v>16</v>
      </c>
      <c r="C433" s="18" t="n">
        <v>24.2</v>
      </c>
      <c r="D433" s="18" t="n">
        <v>-96.2</v>
      </c>
      <c r="E433" s="18" t="n">
        <v>140</v>
      </c>
      <c r="F433" s="27" t="n">
        <f aca="false">E433*0.5144</f>
        <v>72.016</v>
      </c>
      <c r="G433" s="22" t="e">
        <f aca="false">arclethnm(C432,D432,C433,D433)/6</f>
        <v>#NAME?</v>
      </c>
      <c r="H433" s="22" t="e">
        <f aca="false">G433*0.5144</f>
        <v>#NAME?</v>
      </c>
    </row>
    <row r="434" customFormat="false" ht="12.75" hidden="false" customHeight="false" outlineLevel="0" collapsed="false">
      <c r="A434" s="30" t="n">
        <f aca="false">B434-0.5</f>
        <v>15.75</v>
      </c>
      <c r="B434" s="18" t="n">
        <v>16.25</v>
      </c>
      <c r="C434" s="18" t="n">
        <v>25.1</v>
      </c>
      <c r="D434" s="18" t="n">
        <v>-96.8</v>
      </c>
      <c r="E434" s="18" t="n">
        <v>140</v>
      </c>
      <c r="F434" s="27" t="n">
        <f aca="false">E434*0.5144</f>
        <v>72.016</v>
      </c>
      <c r="G434" s="22" t="e">
        <f aca="false">arclethnm(C433,D433,C434,D434)/6</f>
        <v>#NAME?</v>
      </c>
      <c r="H434" s="22" t="e">
        <f aca="false">G434*0.5144</f>
        <v>#NAME?</v>
      </c>
    </row>
    <row r="435" customFormat="false" ht="12.75" hidden="false" customHeight="false" outlineLevel="0" collapsed="false">
      <c r="A435" s="30" t="n">
        <f aca="false">B435-0.5</f>
        <v>16</v>
      </c>
      <c r="B435" s="18" t="n">
        <v>16.5</v>
      </c>
      <c r="C435" s="18" t="n">
        <v>25.9</v>
      </c>
      <c r="D435" s="18" t="n">
        <v>-97.2</v>
      </c>
      <c r="E435" s="18" t="n">
        <v>140</v>
      </c>
      <c r="F435" s="27" t="n">
        <f aca="false">E435*0.5144</f>
        <v>72.016</v>
      </c>
      <c r="G435" s="22" t="e">
        <f aca="false">arclethnm(C434,D434,C435,D435)/6</f>
        <v>#NAME?</v>
      </c>
      <c r="H435" s="22" t="e">
        <f aca="false">G435*0.5144</f>
        <v>#NAME?</v>
      </c>
    </row>
    <row r="436" customFormat="false" ht="12.75" hidden="false" customHeight="false" outlineLevel="0" collapsed="false">
      <c r="A436" s="30" t="n">
        <f aca="false">B436-0.5</f>
        <v>16.25</v>
      </c>
      <c r="B436" s="18" t="n">
        <v>16.75</v>
      </c>
      <c r="C436" s="18" t="n">
        <v>26.4</v>
      </c>
      <c r="D436" s="18" t="n">
        <v>-97.7</v>
      </c>
      <c r="E436" s="18" t="n">
        <v>90</v>
      </c>
      <c r="F436" s="27" t="n">
        <f aca="false">E436*0.5144</f>
        <v>46.296</v>
      </c>
      <c r="G436" s="22" t="e">
        <f aca="false">arclethnm(C435,D435,C436,D436)/6</f>
        <v>#NAME?</v>
      </c>
      <c r="H436" s="22" t="e">
        <f aca="false">G436*0.5144</f>
        <v>#NAME?</v>
      </c>
    </row>
    <row r="437" customFormat="false" ht="12.75" hidden="false" customHeight="false" outlineLevel="0" collapsed="false">
      <c r="A437" s="30" t="n">
        <f aca="false">B437-0.5</f>
        <v>16.5</v>
      </c>
      <c r="B437" s="18" t="n">
        <v>17</v>
      </c>
      <c r="C437" s="18" t="n">
        <v>27.3</v>
      </c>
      <c r="D437" s="18" t="n">
        <v>-98.1</v>
      </c>
      <c r="E437" s="18" t="n">
        <v>70</v>
      </c>
      <c r="F437" s="27" t="n">
        <f aca="false">E437*0.5144</f>
        <v>36.008</v>
      </c>
      <c r="G437" s="22" t="e">
        <f aca="false">arclethnm(C436,D436,C437,D437)/6</f>
        <v>#NAME?</v>
      </c>
      <c r="H437" s="22" t="e">
        <f aca="false">G437*0.5144</f>
        <v>#NAME?</v>
      </c>
    </row>
    <row r="438" customFormat="false" ht="12.75" hidden="false" customHeight="false" outlineLevel="0" collapsed="false">
      <c r="A438" s="30" t="n">
        <f aca="false">B438-0.5</f>
        <v>16.75</v>
      </c>
      <c r="B438" s="18" t="n">
        <v>17.25</v>
      </c>
      <c r="C438" s="18" t="n">
        <v>27.7</v>
      </c>
      <c r="D438" s="18" t="n">
        <v>-98.4</v>
      </c>
      <c r="E438" s="18" t="n">
        <v>65</v>
      </c>
      <c r="F438" s="27" t="n">
        <f aca="false">E438*0.5144</f>
        <v>33.436</v>
      </c>
      <c r="G438" s="22" t="e">
        <f aca="false">arclethnm(C437,D437,C438,D438)/6</f>
        <v>#NAME?</v>
      </c>
      <c r="H438" s="22" t="e">
        <f aca="false">G438*0.5144</f>
        <v>#NAME?</v>
      </c>
    </row>
    <row r="439" customFormat="false" ht="12.75" hidden="false" customHeight="false" outlineLevel="0" collapsed="false">
      <c r="A439" s="30" t="n">
        <f aca="false">B439-0.5</f>
        <v>17</v>
      </c>
      <c r="B439" s="18" t="n">
        <v>17.5</v>
      </c>
      <c r="C439" s="18" t="n">
        <v>27.7</v>
      </c>
      <c r="D439" s="18" t="n">
        <v>-98.7</v>
      </c>
      <c r="E439" s="18" t="n">
        <v>45</v>
      </c>
      <c r="F439" s="27" t="n">
        <f aca="false">E439*0.5144</f>
        <v>23.148</v>
      </c>
      <c r="G439" s="22" t="e">
        <f aca="false">arclethnm(C438,D438,C439,D439)/6</f>
        <v>#NAME?</v>
      </c>
      <c r="H439" s="22" t="e">
        <f aca="false">G439*0.5144</f>
        <v>#NAME?</v>
      </c>
    </row>
    <row r="440" customFormat="false" ht="12.75" hidden="false" customHeight="false" outlineLevel="0" collapsed="false">
      <c r="A440" s="30" t="n">
        <f aca="false">B440-0.5</f>
        <v>17.25</v>
      </c>
      <c r="B440" s="18" t="n">
        <v>17.75</v>
      </c>
      <c r="C440" s="18" t="n">
        <v>27.2</v>
      </c>
      <c r="D440" s="18" t="n">
        <v>-99.2</v>
      </c>
      <c r="E440" s="18" t="n">
        <v>35</v>
      </c>
      <c r="F440" s="27" t="n">
        <f aca="false">E440*0.5144</f>
        <v>18.004</v>
      </c>
      <c r="G440" s="22" t="e">
        <f aca="false">arclethnm(C439,D439,C440,D440)/6</f>
        <v>#NAME?</v>
      </c>
      <c r="H440" s="22" t="e">
        <f aca="false">G440*0.5144</f>
        <v>#NAME?</v>
      </c>
    </row>
    <row r="441" customFormat="false" ht="12.75" hidden="false" customHeight="false" outlineLevel="0" collapsed="false">
      <c r="A441" s="30" t="n">
        <f aca="false">B441-0.5</f>
        <v>17.5</v>
      </c>
      <c r="B441" s="18" t="n">
        <v>18</v>
      </c>
      <c r="C441" s="18" t="n">
        <v>26.7</v>
      </c>
      <c r="D441" s="18" t="n">
        <v>-99.5</v>
      </c>
      <c r="E441" s="18" t="n">
        <v>35</v>
      </c>
      <c r="F441" s="27" t="n">
        <f aca="false">E441*0.5144</f>
        <v>18.004</v>
      </c>
      <c r="G441" s="22" t="e">
        <f aca="false">arclethnm(C440,D440,C441,D441)/6</f>
        <v>#NAME?</v>
      </c>
      <c r="H441" s="22" t="e">
        <f aca="false">G441*0.5144</f>
        <v>#NAME?</v>
      </c>
    </row>
    <row r="442" customFormat="false" ht="12.75" hidden="false" customHeight="false" outlineLevel="0" collapsed="false">
      <c r="A442" s="30" t="n">
        <f aca="false">B442-0.5</f>
        <v>17.75</v>
      </c>
      <c r="B442" s="18" t="n">
        <v>18.25</v>
      </c>
      <c r="C442" s="18" t="n">
        <v>26.5</v>
      </c>
      <c r="D442" s="18" t="n">
        <v>-99.7</v>
      </c>
      <c r="E442" s="18" t="n">
        <v>35</v>
      </c>
      <c r="F442" s="27" t="n">
        <f aca="false">E442*0.5144</f>
        <v>18.004</v>
      </c>
      <c r="G442" s="22" t="e">
        <f aca="false">arclethnm(C441,D441,C442,D442)/6</f>
        <v>#NAME?</v>
      </c>
      <c r="H442" s="22" t="e">
        <f aca="false">G442*0.5144</f>
        <v>#NAME?</v>
      </c>
    </row>
    <row r="443" customFormat="false" ht="12.75" hidden="false" customHeight="false" outlineLevel="0" collapsed="false">
      <c r="A443" s="30" t="n">
        <f aca="false">B443-0.5</f>
        <v>18</v>
      </c>
      <c r="B443" s="18" t="n">
        <v>18.5</v>
      </c>
      <c r="C443" s="18" t="n">
        <v>26.1</v>
      </c>
      <c r="D443" s="18" t="n">
        <v>-100</v>
      </c>
      <c r="E443" s="18" t="n">
        <v>30</v>
      </c>
      <c r="F443" s="27" t="n">
        <f aca="false">E443*0.5144</f>
        <v>15.432</v>
      </c>
      <c r="G443" s="22" t="e">
        <f aca="false">arclethnm(C442,D442,C443,D443)/6</f>
        <v>#NAME?</v>
      </c>
      <c r="H443" s="22" t="e">
        <f aca="false">G443*0.5144</f>
        <v>#NAME?</v>
      </c>
    </row>
    <row r="444" customFormat="false" ht="12.75" hidden="false" customHeight="false" outlineLevel="0" collapsed="false">
      <c r="A444" s="30" t="n">
        <f aca="false">B444-0.5</f>
        <v>18.25</v>
      </c>
      <c r="B444" s="18" t="n">
        <v>18.75</v>
      </c>
      <c r="C444" s="18" t="n">
        <v>25.8</v>
      </c>
      <c r="D444" s="18" t="n">
        <v>-100.3</v>
      </c>
      <c r="E444" s="18" t="n">
        <v>30</v>
      </c>
      <c r="F444" s="27" t="n">
        <f aca="false">E444*0.5144</f>
        <v>15.432</v>
      </c>
      <c r="G444" s="22" t="e">
        <f aca="false">arclethnm(C443,D443,C444,D444)/6</f>
        <v>#NAME?</v>
      </c>
      <c r="H444" s="22" t="e">
        <f aca="false">G444*0.5144</f>
        <v>#NAME?</v>
      </c>
    </row>
    <row r="445" customFormat="false" ht="12.75" hidden="false" customHeight="false" outlineLevel="0" collapsed="false">
      <c r="B445" s="0"/>
      <c r="C445" s="0"/>
      <c r="D445" s="0"/>
      <c r="E445" s="0"/>
      <c r="F445" s="27"/>
      <c r="G445" s="0"/>
      <c r="H445" s="0"/>
    </row>
    <row r="446" customFormat="false" ht="12.75" hidden="false" customHeight="false" outlineLevel="0" collapsed="false">
      <c r="B446" s="23" t="s">
        <v>152</v>
      </c>
      <c r="C446" s="23" t="s">
        <v>27</v>
      </c>
      <c r="D446" s="0"/>
      <c r="E446" s="0"/>
      <c r="F446" s="27"/>
      <c r="G446" s="0"/>
      <c r="H446" s="0"/>
    </row>
    <row r="447" customFormat="false" ht="12.75" hidden="false" customHeight="false" outlineLevel="0" collapsed="false">
      <c r="B447" s="18" t="n">
        <v>1</v>
      </c>
      <c r="C447" s="18" t="n">
        <v>18.5</v>
      </c>
      <c r="D447" s="18" t="n">
        <v>-82.5</v>
      </c>
      <c r="E447" s="18" t="n">
        <v>25</v>
      </c>
      <c r="F447" s="27" t="n">
        <f aca="false">E447*0.5144</f>
        <v>12.86</v>
      </c>
      <c r="G447" s="0"/>
      <c r="H447" s="0"/>
    </row>
    <row r="448" customFormat="false" ht="12.75" hidden="false" customHeight="false" outlineLevel="0" collapsed="false">
      <c r="B448" s="18" t="n">
        <v>1.25</v>
      </c>
      <c r="C448" s="18" t="n">
        <v>19.5</v>
      </c>
      <c r="D448" s="18" t="n">
        <v>-82.9</v>
      </c>
      <c r="E448" s="18" t="n">
        <v>25</v>
      </c>
      <c r="F448" s="27" t="n">
        <f aca="false">E448*0.5144</f>
        <v>12.86</v>
      </c>
      <c r="G448" s="22" t="e">
        <f aca="false">arclethnm(C447,D447,C448,D448)/6</f>
        <v>#NAME?</v>
      </c>
      <c r="H448" s="22" t="e">
        <f aca="false">G448*0.5144</f>
        <v>#NAME?</v>
      </c>
    </row>
    <row r="449" customFormat="false" ht="12.75" hidden="false" customHeight="false" outlineLevel="0" collapsed="false">
      <c r="B449" s="18" t="n">
        <v>1.5</v>
      </c>
      <c r="C449" s="18" t="n">
        <v>20.3</v>
      </c>
      <c r="D449" s="18" t="n">
        <v>-83.2</v>
      </c>
      <c r="E449" s="18" t="n">
        <v>25</v>
      </c>
      <c r="F449" s="27" t="n">
        <f aca="false">E449*0.5144</f>
        <v>12.86</v>
      </c>
      <c r="G449" s="22" t="e">
        <f aca="false">arclethnm(C448,D448,C449,D449)/6</f>
        <v>#NAME?</v>
      </c>
      <c r="H449" s="22" t="e">
        <f aca="false">G449*0.5144</f>
        <v>#NAME?</v>
      </c>
    </row>
    <row r="450" customFormat="false" ht="12.75" hidden="false" customHeight="false" outlineLevel="0" collapsed="false">
      <c r="B450" s="18" t="n">
        <v>1.75</v>
      </c>
      <c r="C450" s="18" t="n">
        <v>21.1</v>
      </c>
      <c r="D450" s="18" t="n">
        <v>-83.8</v>
      </c>
      <c r="E450" s="18" t="n">
        <v>30</v>
      </c>
      <c r="F450" s="27" t="n">
        <f aca="false">E450*0.5144</f>
        <v>15.432</v>
      </c>
      <c r="G450" s="22" t="e">
        <f aca="false">arclethnm(C449,D449,C450,D450)/6</f>
        <v>#NAME?</v>
      </c>
      <c r="H450" s="22" t="e">
        <f aca="false">G450*0.5144</f>
        <v>#NAME?</v>
      </c>
    </row>
    <row r="451" customFormat="false" ht="12.75" hidden="false" customHeight="false" outlineLevel="0" collapsed="false">
      <c r="B451" s="18" t="n">
        <v>2</v>
      </c>
      <c r="C451" s="18" t="n">
        <v>21.9</v>
      </c>
      <c r="D451" s="18" t="n">
        <v>-84.3</v>
      </c>
      <c r="E451" s="18" t="n">
        <v>30</v>
      </c>
      <c r="F451" s="27" t="n">
        <f aca="false">E451*0.5144</f>
        <v>15.432</v>
      </c>
      <c r="G451" s="22" t="e">
        <f aca="false">arclethnm(C450,D450,C451,D451)/6</f>
        <v>#NAME?</v>
      </c>
      <c r="H451" s="22" t="e">
        <f aca="false">G451*0.5144</f>
        <v>#NAME?</v>
      </c>
    </row>
    <row r="452" customFormat="false" ht="12.75" hidden="false" customHeight="false" outlineLevel="0" collapsed="false">
      <c r="B452" s="18" t="n">
        <v>2.25</v>
      </c>
      <c r="C452" s="18" t="n">
        <v>22.7</v>
      </c>
      <c r="D452" s="18" t="n">
        <v>-85</v>
      </c>
      <c r="E452" s="18" t="n">
        <v>30</v>
      </c>
      <c r="F452" s="27" t="n">
        <f aca="false">E452*0.5144</f>
        <v>15.432</v>
      </c>
      <c r="G452" s="22" t="e">
        <f aca="false">arclethnm(C451,D451,C452,D452)/6</f>
        <v>#NAME?</v>
      </c>
      <c r="H452" s="22" t="e">
        <f aca="false">G452*0.5144</f>
        <v>#NAME?</v>
      </c>
    </row>
    <row r="453" customFormat="false" ht="12.75" hidden="false" customHeight="false" outlineLevel="0" collapsed="false">
      <c r="B453" s="18" t="n">
        <v>2.5</v>
      </c>
      <c r="C453" s="18" t="n">
        <v>23.3</v>
      </c>
      <c r="D453" s="18" t="n">
        <v>-85.8</v>
      </c>
      <c r="E453" s="18" t="n">
        <v>45</v>
      </c>
      <c r="F453" s="27" t="n">
        <f aca="false">E453*0.5144</f>
        <v>23.148</v>
      </c>
      <c r="G453" s="22" t="e">
        <f aca="false">arclethnm(C452,D452,C453,D453)/6</f>
        <v>#NAME?</v>
      </c>
      <c r="H453" s="22" t="e">
        <f aca="false">G453*0.5144</f>
        <v>#NAME?</v>
      </c>
    </row>
    <row r="454" customFormat="false" ht="12.75" hidden="false" customHeight="false" outlineLevel="0" collapsed="false">
      <c r="B454" s="18" t="n">
        <v>2.75</v>
      </c>
      <c r="C454" s="18" t="n">
        <v>23.9</v>
      </c>
      <c r="D454" s="18" t="n">
        <v>-86.5</v>
      </c>
      <c r="E454" s="18" t="n">
        <v>60</v>
      </c>
      <c r="F454" s="27" t="n">
        <f aca="false">E454*0.5144</f>
        <v>30.864</v>
      </c>
      <c r="G454" s="22" t="e">
        <f aca="false">arclethnm(C453,D453,C454,D454)/6</f>
        <v>#NAME?</v>
      </c>
      <c r="H454" s="22" t="e">
        <f aca="false">G454*0.5144</f>
        <v>#NAME?</v>
      </c>
    </row>
    <row r="455" customFormat="false" ht="12.75" hidden="false" customHeight="false" outlineLevel="0" collapsed="false">
      <c r="B455" s="18" t="n">
        <v>3</v>
      </c>
      <c r="C455" s="18" t="n">
        <v>24.3</v>
      </c>
      <c r="D455" s="18" t="n">
        <v>-87.2</v>
      </c>
      <c r="E455" s="18" t="n">
        <v>100</v>
      </c>
      <c r="F455" s="27" t="n">
        <f aca="false">E455*0.5144</f>
        <v>51.44</v>
      </c>
      <c r="G455" s="22" t="e">
        <f aca="false">arclethnm(C454,D454,C455,D455)/6</f>
        <v>#NAME?</v>
      </c>
      <c r="H455" s="22" t="e">
        <f aca="false">G455*0.5144</f>
        <v>#NAME?</v>
      </c>
    </row>
    <row r="456" customFormat="false" ht="12.75" hidden="false" customHeight="false" outlineLevel="0" collapsed="false">
      <c r="B456" s="18" t="n">
        <v>3.25</v>
      </c>
      <c r="C456" s="18" t="n">
        <v>24.9</v>
      </c>
      <c r="D456" s="18" t="n">
        <v>-88.3</v>
      </c>
      <c r="E456" s="18" t="n">
        <v>90</v>
      </c>
      <c r="F456" s="27" t="n">
        <f aca="false">E456*0.5144</f>
        <v>46.296</v>
      </c>
      <c r="G456" s="22" t="e">
        <f aca="false">arclethnm(C455,D455,C456,D456)/6</f>
        <v>#NAME?</v>
      </c>
      <c r="H456" s="22" t="e">
        <f aca="false">G456*0.5144</f>
        <v>#NAME?</v>
      </c>
    </row>
    <row r="457" customFormat="false" ht="12.75" hidden="false" customHeight="false" outlineLevel="0" collapsed="false">
      <c r="B457" s="18" t="n">
        <v>3.5</v>
      </c>
      <c r="C457" s="18" t="n">
        <v>25.3</v>
      </c>
      <c r="D457" s="18" t="n">
        <v>-89.6</v>
      </c>
      <c r="E457" s="18" t="n">
        <v>85</v>
      </c>
      <c r="F457" s="27" t="n">
        <f aca="false">E457*0.5144</f>
        <v>43.724</v>
      </c>
      <c r="G457" s="22" t="e">
        <f aca="false">arclethnm(C456,D456,C457,D457)/6</f>
        <v>#NAME?</v>
      </c>
      <c r="H457" s="22" t="e">
        <f aca="false">G457*0.5144</f>
        <v>#NAME?</v>
      </c>
    </row>
    <row r="458" customFormat="false" ht="12.75" hidden="false" customHeight="false" outlineLevel="0" collapsed="false">
      <c r="B458" s="18" t="n">
        <v>3.75</v>
      </c>
      <c r="C458" s="18" t="n">
        <v>25.8</v>
      </c>
      <c r="D458" s="18" t="n">
        <v>-90.8</v>
      </c>
      <c r="E458" s="18" t="n">
        <v>85</v>
      </c>
      <c r="F458" s="27" t="n">
        <f aca="false">E458*0.5144</f>
        <v>43.724</v>
      </c>
      <c r="G458" s="22" t="e">
        <f aca="false">arclethnm(C457,D457,C458,D458)/6</f>
        <v>#NAME?</v>
      </c>
      <c r="H458" s="22" t="e">
        <f aca="false">G458*0.5144</f>
        <v>#NAME?</v>
      </c>
    </row>
    <row r="459" customFormat="false" ht="12.75" hidden="false" customHeight="false" outlineLevel="0" collapsed="false">
      <c r="B459" s="18" t="n">
        <v>4</v>
      </c>
      <c r="C459" s="18" t="n">
        <v>26.2</v>
      </c>
      <c r="D459" s="18" t="n">
        <v>-92</v>
      </c>
      <c r="E459" s="18" t="n">
        <v>80</v>
      </c>
      <c r="F459" s="27" t="n">
        <f aca="false">E459*0.5144</f>
        <v>41.152</v>
      </c>
      <c r="G459" s="22" t="e">
        <f aca="false">arclethnm(C458,D458,C459,D459)/6</f>
        <v>#NAME?</v>
      </c>
      <c r="H459" s="22" t="e">
        <f aca="false">G459*0.5144</f>
        <v>#NAME?</v>
      </c>
    </row>
    <row r="460" customFormat="false" ht="12.75" hidden="false" customHeight="false" outlineLevel="0" collapsed="false">
      <c r="B460" s="18" t="n">
        <v>4.25</v>
      </c>
      <c r="C460" s="18" t="n">
        <v>26.6</v>
      </c>
      <c r="D460" s="18" t="n">
        <v>-93.5</v>
      </c>
      <c r="E460" s="18" t="n">
        <v>75</v>
      </c>
      <c r="F460" s="27" t="n">
        <f aca="false">E460*0.5144</f>
        <v>38.58</v>
      </c>
      <c r="G460" s="22" t="e">
        <f aca="false">arclethnm(C459,D459,C460,D460)/6</f>
        <v>#NAME?</v>
      </c>
      <c r="H460" s="22" t="e">
        <f aca="false">G460*0.5144</f>
        <v>#NAME?</v>
      </c>
    </row>
    <row r="461" customFormat="false" ht="12.75" hidden="false" customHeight="false" outlineLevel="0" collapsed="false">
      <c r="B461" s="18" t="n">
        <v>4.5</v>
      </c>
      <c r="C461" s="18" t="n">
        <v>27</v>
      </c>
      <c r="D461" s="18" t="n">
        <v>-94.9</v>
      </c>
      <c r="E461" s="18" t="n">
        <v>90</v>
      </c>
      <c r="F461" s="27" t="n">
        <f aca="false">E461*0.5144</f>
        <v>46.296</v>
      </c>
      <c r="G461" s="22" t="e">
        <f aca="false">arclethnm(C460,D460,C461,D461)/6</f>
        <v>#NAME?</v>
      </c>
      <c r="H461" s="22" t="e">
        <f aca="false">G461*0.5144</f>
        <v>#NAME?</v>
      </c>
    </row>
    <row r="462" customFormat="false" ht="12.75" hidden="false" customHeight="false" outlineLevel="0" collapsed="false">
      <c r="B462" s="18" t="n">
        <v>4.75</v>
      </c>
      <c r="C462" s="18" t="n">
        <v>27.5</v>
      </c>
      <c r="D462" s="18" t="n">
        <v>-96.3</v>
      </c>
      <c r="E462" s="18" t="n">
        <v>110</v>
      </c>
      <c r="F462" s="27" t="n">
        <f aca="false">E462*0.5144</f>
        <v>56.584</v>
      </c>
      <c r="G462" s="22" t="e">
        <f aca="false">arclethnm(C461,D461,C462,D462)/6</f>
        <v>#NAME?</v>
      </c>
      <c r="H462" s="22" t="e">
        <f aca="false">G462*0.5144</f>
        <v>#NAME?</v>
      </c>
    </row>
    <row r="463" customFormat="false" ht="12.75" hidden="false" customHeight="false" outlineLevel="0" collapsed="false">
      <c r="B463" s="18" t="n">
        <v>5</v>
      </c>
      <c r="C463" s="18" t="n">
        <v>28.1</v>
      </c>
      <c r="D463" s="18" t="n">
        <v>-97.8</v>
      </c>
      <c r="E463" s="18" t="n">
        <v>70</v>
      </c>
      <c r="F463" s="27" t="n">
        <f aca="false">E463*0.5144</f>
        <v>36.008</v>
      </c>
      <c r="G463" s="22" t="e">
        <f aca="false">arclethnm(C462,D462,C463,D463)/6</f>
        <v>#NAME?</v>
      </c>
      <c r="H463" s="22" t="e">
        <f aca="false">G463*0.5144</f>
        <v>#NAME?</v>
      </c>
    </row>
    <row r="464" customFormat="false" ht="12.75" hidden="false" customHeight="false" outlineLevel="0" collapsed="false">
      <c r="B464" s="18" t="n">
        <v>5.25</v>
      </c>
      <c r="C464" s="18" t="n">
        <v>28.6</v>
      </c>
      <c r="D464" s="18" t="n">
        <v>-99.3</v>
      </c>
      <c r="E464" s="18" t="n">
        <v>55</v>
      </c>
      <c r="F464" s="27" t="n">
        <f aca="false">E464*0.5144</f>
        <v>28.292</v>
      </c>
      <c r="G464" s="22" t="e">
        <f aca="false">arclethnm(C463,D463,C464,D464)/6</f>
        <v>#NAME?</v>
      </c>
      <c r="H464" s="22" t="e">
        <f aca="false">G464*0.5144</f>
        <v>#NAME?</v>
      </c>
    </row>
    <row r="465" customFormat="false" ht="12.75" hidden="false" customHeight="false" outlineLevel="0" collapsed="false">
      <c r="B465" s="18" t="n">
        <v>5.5</v>
      </c>
      <c r="C465" s="18" t="n">
        <v>29.1</v>
      </c>
      <c r="D465" s="18" t="n">
        <v>-100.8</v>
      </c>
      <c r="E465" s="18" t="n">
        <v>50</v>
      </c>
      <c r="F465" s="27" t="n">
        <f aca="false">E465*0.5144</f>
        <v>25.72</v>
      </c>
      <c r="G465" s="22" t="e">
        <f aca="false">arclethnm(C464,D464,C465,D465)/6</f>
        <v>#NAME?</v>
      </c>
      <c r="H465" s="22" t="e">
        <f aca="false">G465*0.5144</f>
        <v>#NAME?</v>
      </c>
    </row>
    <row r="466" customFormat="false" ht="12.75" hidden="false" customHeight="false" outlineLevel="0" collapsed="false">
      <c r="B466" s="18" t="n">
        <v>5.75</v>
      </c>
      <c r="C466" s="18" t="n">
        <v>29.7</v>
      </c>
      <c r="D466" s="18" t="n">
        <v>-102.1</v>
      </c>
      <c r="E466" s="18" t="n">
        <v>35</v>
      </c>
      <c r="F466" s="27" t="n">
        <f aca="false">E466*0.5144</f>
        <v>18.004</v>
      </c>
      <c r="G466" s="22" t="e">
        <f aca="false">arclethnm(C465,D465,C466,D466)/6</f>
        <v>#NAME?</v>
      </c>
      <c r="H466" s="22" t="e">
        <f aca="false">G466*0.5144</f>
        <v>#NAME?</v>
      </c>
    </row>
    <row r="467" customFormat="false" ht="12.75" hidden="false" customHeight="false" outlineLevel="0" collapsed="false">
      <c r="B467" s="18" t="n">
        <v>6</v>
      </c>
      <c r="C467" s="18" t="n">
        <v>30.3</v>
      </c>
      <c r="D467" s="18" t="n">
        <v>-103.3</v>
      </c>
      <c r="E467" s="18" t="n">
        <v>30</v>
      </c>
      <c r="F467" s="27" t="n">
        <f aca="false">E467*0.5144</f>
        <v>15.432</v>
      </c>
      <c r="G467" s="22" t="e">
        <f aca="false">arclethnm(C466,D466,C467,D467)/6</f>
        <v>#NAME?</v>
      </c>
      <c r="H467" s="22" t="e">
        <f aca="false">G467*0.5144</f>
        <v>#NAME?</v>
      </c>
    </row>
    <row r="468" customFormat="false" ht="12.75" hidden="false" customHeight="false" outlineLevel="0" collapsed="false">
      <c r="B468" s="18" t="n">
        <v>6.25</v>
      </c>
      <c r="C468" s="18" t="n">
        <v>30.9</v>
      </c>
      <c r="D468" s="18" t="n">
        <v>-104.8</v>
      </c>
      <c r="E468" s="18" t="n">
        <v>30</v>
      </c>
      <c r="F468" s="27" t="n">
        <f aca="false">E468*0.5144</f>
        <v>15.432</v>
      </c>
      <c r="G468" s="22" t="e">
        <f aca="false">arclethnm(C467,D467,C468,D468)/6</f>
        <v>#NAME?</v>
      </c>
      <c r="H468" s="22" t="e">
        <f aca="false">G468*0.5144</f>
        <v>#NAME?</v>
      </c>
    </row>
    <row r="469" customFormat="false" ht="12.75" hidden="false" customHeight="false" outlineLevel="0" collapsed="false">
      <c r="B469" s="18" t="n">
        <v>6.5</v>
      </c>
      <c r="C469" s="18" t="n">
        <v>31.5</v>
      </c>
      <c r="D469" s="18" t="n">
        <v>-105.8</v>
      </c>
      <c r="E469" s="18" t="n">
        <v>25</v>
      </c>
      <c r="F469" s="27" t="n">
        <f aca="false">E469*0.5144</f>
        <v>12.86</v>
      </c>
      <c r="G469" s="22" t="e">
        <f aca="false">arclethnm(C468,D468,C469,D469)/6</f>
        <v>#NAME?</v>
      </c>
      <c r="H469" s="22" t="e">
        <f aca="false">G469*0.5144</f>
        <v>#NAME?</v>
      </c>
    </row>
    <row r="470" customFormat="false" ht="12.75" hidden="false" customHeight="false" outlineLevel="0" collapsed="false">
      <c r="B470" s="18" t="n">
        <v>6.75</v>
      </c>
      <c r="C470" s="18" t="n">
        <v>32.3</v>
      </c>
      <c r="D470" s="18" t="n">
        <v>-107</v>
      </c>
      <c r="E470" s="18" t="n">
        <v>25</v>
      </c>
      <c r="F470" s="27" t="n">
        <f aca="false">E470*0.5144</f>
        <v>12.86</v>
      </c>
      <c r="G470" s="22" t="e">
        <f aca="false">arclethnm(C469,D469,C470,D470)/6</f>
        <v>#NAME?</v>
      </c>
      <c r="H470" s="22" t="e">
        <f aca="false">G470*0.5144</f>
        <v>#NAME?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E24" activeCellId="0" sqref="E24"/>
    </sheetView>
  </sheetViews>
  <sheetFormatPr defaultRowHeight="12.75"/>
  <cols>
    <col collapsed="false" hidden="false" max="1025" min="1" style="0" width="11.530612244898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363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10" zoomScaleNormal="110" zoomScalePageLayoutView="100" workbookViewId="0">
      <selection pane="topLeft" activeCell="N176" activeCellId="0" sqref="N176"/>
    </sheetView>
  </sheetViews>
  <sheetFormatPr defaultRowHeight="12.75"/>
  <cols>
    <col collapsed="false" hidden="false" max="6" min="1" style="19" width="9.68367346938776"/>
    <col collapsed="false" hidden="false" max="7" min="7" style="18" width="9.68367346938776"/>
    <col collapsed="false" hidden="false" max="8" min="8" style="14" width="9.68367346938776"/>
    <col collapsed="false" hidden="false" max="11" min="9" style="19" width="9.68367346938776"/>
    <col collapsed="false" hidden="false" max="13" min="12" style="14" width="9.68367346938776"/>
    <col collapsed="false" hidden="false" max="1025" min="14" style="19" width="9.68367346938776"/>
  </cols>
  <sheetData>
    <row r="1" s="18" customFormat="true" ht="63.75" hidden="false" customHeight="false" outlineLevel="0" collapsed="false">
      <c r="A1" s="19" t="s">
        <v>127</v>
      </c>
      <c r="B1" s="20" t="s">
        <v>128</v>
      </c>
      <c r="C1" s="20" t="s">
        <v>129</v>
      </c>
      <c r="D1" s="20" t="s">
        <v>130</v>
      </c>
      <c r="E1" s="20" t="s">
        <v>15</v>
      </c>
      <c r="F1" s="21" t="s">
        <v>131</v>
      </c>
      <c r="G1" s="20" t="s">
        <v>132</v>
      </c>
      <c r="H1" s="20" t="s">
        <v>14</v>
      </c>
      <c r="I1" s="20" t="s">
        <v>9</v>
      </c>
      <c r="J1" s="20" t="s">
        <v>133</v>
      </c>
      <c r="K1" s="19" t="s">
        <v>134</v>
      </c>
      <c r="L1" s="14"/>
      <c r="M1" s="14"/>
    </row>
    <row r="2" customFormat="false" ht="12.75" hidden="false" customHeight="false" outlineLevel="0" collapsed="false">
      <c r="A2" s="0"/>
      <c r="B2" s="0"/>
      <c r="C2" s="0"/>
      <c r="D2" s="0"/>
      <c r="E2" s="0"/>
      <c r="F2" s="0"/>
      <c r="G2" s="0"/>
      <c r="H2" s="0"/>
      <c r="I2" s="0"/>
      <c r="J2" s="0"/>
      <c r="K2" s="0"/>
    </row>
    <row r="3" customFormat="false" ht="12.75" hidden="false" customHeight="false" outlineLevel="0" collapsed="false">
      <c r="A3" s="0"/>
      <c r="B3" s="20" t="s">
        <v>153</v>
      </c>
      <c r="C3" s="20" t="s">
        <v>29</v>
      </c>
      <c r="D3" s="20"/>
      <c r="E3" s="0"/>
      <c r="F3" s="0"/>
      <c r="G3" s="0"/>
      <c r="H3" s="0"/>
      <c r="I3" s="0"/>
      <c r="J3" s="0"/>
      <c r="K3" s="0"/>
    </row>
    <row r="4" customFormat="false" ht="12.75" hidden="false" customHeight="false" outlineLevel="0" collapsed="false">
      <c r="A4" s="34" t="n">
        <f aca="false">B4-0.5</f>
        <v>1</v>
      </c>
      <c r="B4" s="19" t="n">
        <v>1.5</v>
      </c>
      <c r="C4" s="18" t="n">
        <v>11</v>
      </c>
      <c r="D4" s="18" t="n">
        <v>-30</v>
      </c>
      <c r="E4" s="19" t="n">
        <v>25</v>
      </c>
      <c r="F4" s="35" t="n">
        <f aca="false">E4*0.5144</f>
        <v>12.86</v>
      </c>
      <c r="G4" s="0"/>
      <c r="H4" s="0"/>
      <c r="I4" s="0"/>
      <c r="J4" s="19" t="n">
        <v>0</v>
      </c>
      <c r="K4" s="34"/>
    </row>
    <row r="5" customFormat="false" ht="12.75" hidden="false" customHeight="false" outlineLevel="0" collapsed="false">
      <c r="A5" s="34" t="n">
        <f aca="false">B5-0.5</f>
        <v>1.25</v>
      </c>
      <c r="B5" s="19" t="n">
        <v>1.75</v>
      </c>
      <c r="C5" s="18" t="n">
        <v>10.9</v>
      </c>
      <c r="D5" s="18" t="n">
        <v>-32.2</v>
      </c>
      <c r="E5" s="19" t="n">
        <v>25</v>
      </c>
      <c r="F5" s="35" t="n">
        <f aca="false">E5*0.5144</f>
        <v>12.86</v>
      </c>
      <c r="G5" s="22" t="e">
        <f aca="false">arclethnm(C4,D4,C5,D5)/6</f>
        <v>#NAME?</v>
      </c>
      <c r="H5" s="36" t="e">
        <f aca="false">G5*0.5144</f>
        <v>#NAME?</v>
      </c>
      <c r="I5" s="0"/>
      <c r="J5" s="19" t="n">
        <v>0</v>
      </c>
      <c r="K5" s="34"/>
    </row>
    <row r="6" customFormat="false" ht="12.75" hidden="false" customHeight="false" outlineLevel="0" collapsed="false">
      <c r="A6" s="34" t="n">
        <f aca="false">B6-0.5</f>
        <v>1.5</v>
      </c>
      <c r="B6" s="19" t="n">
        <v>2</v>
      </c>
      <c r="C6" s="18" t="n">
        <v>10.8</v>
      </c>
      <c r="D6" s="18" t="n">
        <v>-34.3</v>
      </c>
      <c r="E6" s="19" t="n">
        <v>30</v>
      </c>
      <c r="F6" s="35" t="n">
        <f aca="false">E6*0.5144</f>
        <v>15.432</v>
      </c>
      <c r="G6" s="22" t="e">
        <f aca="false">arclethnm(C5,D5,C6,D6)/6</f>
        <v>#NAME?</v>
      </c>
      <c r="H6" s="36" t="e">
        <f aca="false">G6*0.5144</f>
        <v>#NAME?</v>
      </c>
      <c r="I6" s="19" t="n">
        <v>1010</v>
      </c>
      <c r="J6" s="19" t="n">
        <v>0</v>
      </c>
      <c r="K6" s="34" t="n">
        <f aca="false">B6-8.75</f>
        <v>-6.75</v>
      </c>
    </row>
    <row r="7" customFormat="false" ht="12.75" hidden="false" customHeight="false" outlineLevel="0" collapsed="false">
      <c r="A7" s="34" t="n">
        <f aca="false">B7-0.5</f>
        <v>1.75</v>
      </c>
      <c r="B7" s="19" t="n">
        <v>2.25</v>
      </c>
      <c r="C7" s="18" t="n">
        <v>10.7</v>
      </c>
      <c r="D7" s="18" t="n">
        <v>-36.4</v>
      </c>
      <c r="E7" s="19" t="n">
        <v>30</v>
      </c>
      <c r="F7" s="35" t="n">
        <f aca="false">E7*0.5144</f>
        <v>15.432</v>
      </c>
      <c r="G7" s="22" t="e">
        <f aca="false">arclethnm(C6,D6,C7,D7)/6</f>
        <v>#NAME?</v>
      </c>
      <c r="H7" s="36" t="e">
        <f aca="false">G7*0.5144</f>
        <v>#NAME?</v>
      </c>
      <c r="I7" s="19" t="n">
        <v>1009</v>
      </c>
      <c r="J7" s="19" t="n">
        <v>0</v>
      </c>
      <c r="K7" s="34" t="n">
        <f aca="false">B7-8.75</f>
        <v>-6.5</v>
      </c>
    </row>
    <row r="8" customFormat="false" ht="12.75" hidden="false" customHeight="false" outlineLevel="0" collapsed="false">
      <c r="A8" s="34" t="n">
        <f aca="false">B8-0.5</f>
        <v>2</v>
      </c>
      <c r="B8" s="19" t="n">
        <v>2.5</v>
      </c>
      <c r="C8" s="18" t="n">
        <v>10.7</v>
      </c>
      <c r="D8" s="18" t="n">
        <v>-38.6</v>
      </c>
      <c r="E8" s="19" t="n">
        <v>30</v>
      </c>
      <c r="F8" s="35" t="n">
        <f aca="false">E8*0.5144</f>
        <v>15.432</v>
      </c>
      <c r="G8" s="22" t="e">
        <f aca="false">arclethnm(C7,D7,C8,D8)/6</f>
        <v>#NAME?</v>
      </c>
      <c r="H8" s="36" t="e">
        <f aca="false">G8*0.5144</f>
        <v>#NAME?</v>
      </c>
      <c r="I8" s="19" t="n">
        <v>1008</v>
      </c>
      <c r="J8" s="19" t="n">
        <v>0</v>
      </c>
      <c r="K8" s="34" t="n">
        <f aca="false">B8-8.75</f>
        <v>-6.25</v>
      </c>
    </row>
    <row r="9" customFormat="false" ht="12.75" hidden="false" customHeight="false" outlineLevel="0" collapsed="false">
      <c r="A9" s="34" t="n">
        <f aca="false">B9-0.5</f>
        <v>2.25</v>
      </c>
      <c r="B9" s="19" t="n">
        <v>2.75</v>
      </c>
      <c r="C9" s="18" t="n">
        <v>10.7</v>
      </c>
      <c r="D9" s="18" t="n">
        <v>-40.7</v>
      </c>
      <c r="E9" s="19" t="n">
        <v>30</v>
      </c>
      <c r="F9" s="35" t="n">
        <f aca="false">E9*0.5144</f>
        <v>15.432</v>
      </c>
      <c r="G9" s="22" t="e">
        <f aca="false">arclethnm(C8,D8,C9,D9)/6</f>
        <v>#NAME?</v>
      </c>
      <c r="H9" s="36" t="e">
        <f aca="false">G9*0.5144</f>
        <v>#NAME?</v>
      </c>
      <c r="I9" s="19" t="n">
        <v>1006</v>
      </c>
      <c r="J9" s="19" t="n">
        <v>0</v>
      </c>
      <c r="K9" s="34" t="n">
        <f aca="false">B9-8.75</f>
        <v>-6</v>
      </c>
    </row>
    <row r="10" customFormat="false" ht="12.75" hidden="false" customHeight="false" outlineLevel="0" collapsed="false">
      <c r="A10" s="34" t="n">
        <f aca="false">B10-0.5</f>
        <v>2.5</v>
      </c>
      <c r="B10" s="19" t="n">
        <v>3</v>
      </c>
      <c r="C10" s="18" t="n">
        <v>11</v>
      </c>
      <c r="D10" s="18" t="n">
        <v>-42.8</v>
      </c>
      <c r="E10" s="19" t="n">
        <v>35</v>
      </c>
      <c r="F10" s="35" t="n">
        <f aca="false">E10*0.5144</f>
        <v>18.004</v>
      </c>
      <c r="G10" s="22" t="e">
        <f aca="false">arclethnm(C9,D9,C10,D10)/6</f>
        <v>#NAME?</v>
      </c>
      <c r="H10" s="36" t="e">
        <f aca="false">G10*0.5144</f>
        <v>#NAME?</v>
      </c>
      <c r="I10" s="19" t="n">
        <v>1005</v>
      </c>
      <c r="J10" s="19" t="n">
        <v>0</v>
      </c>
      <c r="K10" s="34" t="n">
        <f aca="false">B10-8.75</f>
        <v>-5.75</v>
      </c>
    </row>
    <row r="11" customFormat="false" ht="12.75" hidden="false" customHeight="false" outlineLevel="0" collapsed="false">
      <c r="A11" s="34" t="n">
        <f aca="false">B11-0.5</f>
        <v>2.75</v>
      </c>
      <c r="B11" s="19" t="n">
        <v>3.25</v>
      </c>
      <c r="C11" s="18" t="n">
        <v>11.4</v>
      </c>
      <c r="D11" s="18" t="n">
        <v>-44.8</v>
      </c>
      <c r="E11" s="19" t="n">
        <v>45</v>
      </c>
      <c r="F11" s="35" t="n">
        <f aca="false">E11*0.5144</f>
        <v>23.148</v>
      </c>
      <c r="G11" s="22" t="e">
        <f aca="false">arclethnm(C10,D10,C11,D11)/6</f>
        <v>#NAME?</v>
      </c>
      <c r="H11" s="36" t="e">
        <f aca="false">G11*0.5144</f>
        <v>#NAME?</v>
      </c>
      <c r="I11" s="19" t="n">
        <v>1000</v>
      </c>
      <c r="J11" s="19" t="n">
        <v>0</v>
      </c>
      <c r="K11" s="34" t="n">
        <f aca="false">B11-8.75</f>
        <v>-5.5</v>
      </c>
    </row>
    <row r="12" customFormat="false" ht="12.75" hidden="false" customHeight="false" outlineLevel="0" collapsed="false">
      <c r="A12" s="34" t="n">
        <f aca="false">B12-0.5</f>
        <v>3</v>
      </c>
      <c r="B12" s="19" t="n">
        <v>3.5</v>
      </c>
      <c r="C12" s="18" t="n">
        <v>11.9</v>
      </c>
      <c r="D12" s="18" t="n">
        <v>-46.9</v>
      </c>
      <c r="E12" s="19" t="n">
        <v>55</v>
      </c>
      <c r="F12" s="35" t="n">
        <f aca="false">E12*0.5144</f>
        <v>28.292</v>
      </c>
      <c r="G12" s="22" t="e">
        <f aca="false">arclethnm(C11,D11,C12,D12)/6</f>
        <v>#NAME?</v>
      </c>
      <c r="H12" s="36" t="e">
        <f aca="false">G12*0.5144</f>
        <v>#NAME?</v>
      </c>
      <c r="I12" s="19" t="n">
        <v>995</v>
      </c>
      <c r="J12" s="19" t="n">
        <v>0</v>
      </c>
      <c r="K12" s="34" t="n">
        <f aca="false">B12-8.75</f>
        <v>-5.25</v>
      </c>
    </row>
    <row r="13" customFormat="false" ht="12.75" hidden="false" customHeight="false" outlineLevel="0" collapsed="false">
      <c r="A13" s="34" t="n">
        <f aca="false">B13-0.5</f>
        <v>3.25</v>
      </c>
      <c r="B13" s="19" t="n">
        <v>3.75</v>
      </c>
      <c r="C13" s="18" t="n">
        <v>12.3</v>
      </c>
      <c r="D13" s="18" t="n">
        <v>-49.1</v>
      </c>
      <c r="E13" s="19" t="n">
        <v>60</v>
      </c>
      <c r="F13" s="35" t="n">
        <f aca="false">E13*0.5144</f>
        <v>30.864</v>
      </c>
      <c r="G13" s="22" t="e">
        <f aca="false">arclethnm(C12,D12,C13,D13)/6</f>
        <v>#NAME?</v>
      </c>
      <c r="H13" s="36" t="e">
        <f aca="false">G13*0.5144</f>
        <v>#NAME?</v>
      </c>
      <c r="I13" s="19" t="n">
        <v>990</v>
      </c>
      <c r="J13" s="19" t="n">
        <v>0</v>
      </c>
      <c r="K13" s="34" t="n">
        <f aca="false">B13-8.75</f>
        <v>-5</v>
      </c>
    </row>
    <row r="14" customFormat="false" ht="12.75" hidden="false" customHeight="false" outlineLevel="0" collapsed="false">
      <c r="A14" s="34" t="n">
        <f aca="false">B14-0.5</f>
        <v>3.5</v>
      </c>
      <c r="B14" s="19" t="n">
        <v>4</v>
      </c>
      <c r="C14" s="18" t="n">
        <v>12.4</v>
      </c>
      <c r="D14" s="18" t="n">
        <v>-51.4</v>
      </c>
      <c r="E14" s="19" t="n">
        <v>65</v>
      </c>
      <c r="F14" s="35" t="n">
        <f aca="false">E14*0.5144</f>
        <v>33.436</v>
      </c>
      <c r="G14" s="22" t="e">
        <f aca="false">arclethnm(C13,D13,C14,D14)/6</f>
        <v>#NAME?</v>
      </c>
      <c r="H14" s="36" t="e">
        <f aca="false">G14*0.5144</f>
        <v>#NAME?</v>
      </c>
      <c r="I14" s="19" t="n">
        <v>985</v>
      </c>
      <c r="J14" s="19" t="n">
        <v>0</v>
      </c>
      <c r="K14" s="34" t="n">
        <f aca="false">B14-8.75</f>
        <v>-4.75</v>
      </c>
    </row>
    <row r="15" customFormat="false" ht="12.75" hidden="false" customHeight="false" outlineLevel="0" collapsed="false">
      <c r="A15" s="34" t="n">
        <f aca="false">B15-0.5</f>
        <v>3.75</v>
      </c>
      <c r="B15" s="19" t="n">
        <v>4.25</v>
      </c>
      <c r="C15" s="18" t="n">
        <v>12.6</v>
      </c>
      <c r="D15" s="18" t="n">
        <v>-53.6</v>
      </c>
      <c r="E15" s="19" t="n">
        <v>70</v>
      </c>
      <c r="F15" s="35" t="n">
        <f aca="false">E15*0.5144</f>
        <v>36.008</v>
      </c>
      <c r="G15" s="22" t="e">
        <f aca="false">arclethnm(C14,D14,C15,D15)/6</f>
        <v>#NAME?</v>
      </c>
      <c r="H15" s="36" t="e">
        <f aca="false">G15*0.5144</f>
        <v>#NAME?</v>
      </c>
      <c r="I15" s="19" t="n">
        <v>980</v>
      </c>
      <c r="J15" s="19" t="n">
        <v>0</v>
      </c>
      <c r="K15" s="34" t="n">
        <f aca="false">B15-8.75</f>
        <v>-4.5</v>
      </c>
    </row>
    <row r="16" customFormat="false" ht="12.75" hidden="false" customHeight="false" outlineLevel="0" collapsed="false">
      <c r="A16" s="34" t="n">
        <f aca="false">B16-0.5</f>
        <v>4</v>
      </c>
      <c r="B16" s="19" t="n">
        <v>4.5</v>
      </c>
      <c r="C16" s="18" t="n">
        <v>12.8</v>
      </c>
      <c r="D16" s="18" t="n">
        <v>-55.6</v>
      </c>
      <c r="E16" s="19" t="n">
        <v>80</v>
      </c>
      <c r="F16" s="35" t="n">
        <f aca="false">E16*0.5144</f>
        <v>41.152</v>
      </c>
      <c r="G16" s="22" t="e">
        <f aca="false">arclethnm(C15,D15,C16,D16)/6</f>
        <v>#NAME?</v>
      </c>
      <c r="H16" s="36" t="e">
        <f aca="false">G16*0.5144</f>
        <v>#NAME?</v>
      </c>
      <c r="I16" s="19" t="n">
        <v>975</v>
      </c>
      <c r="J16" s="19" t="n">
        <v>0</v>
      </c>
      <c r="K16" s="34" t="n">
        <f aca="false">B16-8.75</f>
        <v>-4.25</v>
      </c>
    </row>
    <row r="17" customFormat="false" ht="12.8" hidden="false" customHeight="false" outlineLevel="0" collapsed="false">
      <c r="A17" s="34" t="n">
        <f aca="false">B17-0.5</f>
        <v>4.25</v>
      </c>
      <c r="B17" s="19" t="n">
        <v>4.75</v>
      </c>
      <c r="C17" s="18" t="n">
        <v>12.9</v>
      </c>
      <c r="D17" s="18" t="n">
        <v>-57.5</v>
      </c>
      <c r="E17" s="19" t="n">
        <v>95</v>
      </c>
      <c r="F17" s="35" t="n">
        <f aca="false">E17*0.5144</f>
        <v>48.868</v>
      </c>
      <c r="G17" s="22" t="e">
        <f aca="false">arclethnm(C16,D16,C17,D17)/6</f>
        <v>#NAME?</v>
      </c>
      <c r="H17" s="36" t="e">
        <f aca="false">G17*0.5144</f>
        <v>#NAME?</v>
      </c>
      <c r="I17" s="19" t="n">
        <v>965</v>
      </c>
      <c r="J17" s="19" t="n">
        <v>0</v>
      </c>
      <c r="K17" s="34" t="n">
        <f aca="false">B17-8.75</f>
        <v>-4</v>
      </c>
    </row>
    <row r="18" customFormat="false" ht="12.75" hidden="false" customHeight="false" outlineLevel="0" collapsed="false">
      <c r="A18" s="34" t="n">
        <f aca="false">B18-0.5</f>
        <v>4.5</v>
      </c>
      <c r="B18" s="19" t="n">
        <v>5</v>
      </c>
      <c r="C18" s="18" t="n">
        <v>13.3</v>
      </c>
      <c r="D18" s="18" t="n">
        <v>-59.1</v>
      </c>
      <c r="E18" s="19" t="n">
        <v>110</v>
      </c>
      <c r="F18" s="35" t="n">
        <f aca="false">E18*0.5144</f>
        <v>56.584</v>
      </c>
      <c r="G18" s="22" t="e">
        <f aca="false">arclethnm(C17,D17,C18,D18)/6</f>
        <v>#NAME?</v>
      </c>
      <c r="H18" s="36" t="e">
        <f aca="false">G18*0.5144</f>
        <v>#NAME?</v>
      </c>
      <c r="I18" s="19" t="n">
        <v>950</v>
      </c>
      <c r="J18" s="19" t="n">
        <v>0</v>
      </c>
      <c r="K18" s="34" t="n">
        <f aca="false">B18-8.75</f>
        <v>-3.75</v>
      </c>
    </row>
    <row r="19" customFormat="false" ht="12.75" hidden="false" customHeight="false" outlineLevel="0" collapsed="false">
      <c r="A19" s="34" t="n">
        <f aca="false">B19-0.5</f>
        <v>4.75</v>
      </c>
      <c r="B19" s="19" t="n">
        <v>5.25</v>
      </c>
      <c r="C19" s="18" t="n">
        <v>13.6</v>
      </c>
      <c r="D19" s="18" t="n">
        <v>-61</v>
      </c>
      <c r="E19" s="19" t="n">
        <v>115</v>
      </c>
      <c r="F19" s="35" t="n">
        <f aca="false">E19*0.5144</f>
        <v>59.156</v>
      </c>
      <c r="G19" s="22" t="e">
        <f aca="false">arclethnm(C18,D18,C19,D19)/6</f>
        <v>#NAME?</v>
      </c>
      <c r="H19" s="36" t="e">
        <f aca="false">G19*0.5144</f>
        <v>#NAME?</v>
      </c>
      <c r="I19" s="19" t="n">
        <v>948</v>
      </c>
      <c r="J19" s="19" t="n">
        <v>0</v>
      </c>
      <c r="K19" s="34" t="n">
        <f aca="false">B19-8.75</f>
        <v>-3.5</v>
      </c>
    </row>
    <row r="20" customFormat="false" ht="12.75" hidden="false" customHeight="false" outlineLevel="0" collapsed="false">
      <c r="A20" s="34" t="n">
        <f aca="false">B20-0.5</f>
        <v>5</v>
      </c>
      <c r="B20" s="19" t="n">
        <v>5.5</v>
      </c>
      <c r="C20" s="18" t="n">
        <v>14</v>
      </c>
      <c r="D20" s="18" t="n">
        <v>-63</v>
      </c>
      <c r="E20" s="19" t="n">
        <v>125</v>
      </c>
      <c r="F20" s="35" t="n">
        <f aca="false">E20*0.5144</f>
        <v>64.3</v>
      </c>
      <c r="G20" s="22" t="e">
        <f aca="false">arclethnm(C19,D19,C20,D20)/6</f>
        <v>#NAME?</v>
      </c>
      <c r="H20" s="36" t="e">
        <f aca="false">G20*0.5144</f>
        <v>#NAME?</v>
      </c>
      <c r="I20" s="19" t="n">
        <v>945</v>
      </c>
      <c r="J20" s="19" t="n">
        <v>0</v>
      </c>
      <c r="K20" s="34" t="n">
        <f aca="false">B20-8.75</f>
        <v>-3.25</v>
      </c>
    </row>
    <row r="21" customFormat="false" ht="12.75" hidden="false" customHeight="false" outlineLevel="0" collapsed="false">
      <c r="A21" s="34" t="n">
        <f aca="false">B21-0.5</f>
        <v>5.25</v>
      </c>
      <c r="B21" s="19" t="n">
        <v>5.75</v>
      </c>
      <c r="C21" s="18" t="n">
        <v>14.4</v>
      </c>
      <c r="D21" s="18" t="n">
        <v>-64.9</v>
      </c>
      <c r="E21" s="19" t="n">
        <v>130</v>
      </c>
      <c r="F21" s="35" t="n">
        <f aca="false">E21*0.5144</f>
        <v>66.872</v>
      </c>
      <c r="G21" s="22" t="e">
        <f aca="false">arclethnm(C20,D20,C21,D21)/6</f>
        <v>#NAME?</v>
      </c>
      <c r="H21" s="36" t="e">
        <f aca="false">G21*0.5144</f>
        <v>#NAME?</v>
      </c>
      <c r="I21" s="19" t="n">
        <v>930</v>
      </c>
      <c r="J21" s="19" t="n">
        <v>0</v>
      </c>
      <c r="K21" s="34" t="n">
        <f aca="false">B21-8.75</f>
        <v>-3</v>
      </c>
    </row>
    <row r="22" customFormat="false" ht="12.75" hidden="false" customHeight="false" outlineLevel="0" collapsed="false">
      <c r="A22" s="34" t="n">
        <f aca="false">B22-0.5</f>
        <v>5.5</v>
      </c>
      <c r="B22" s="19" t="n">
        <v>6</v>
      </c>
      <c r="C22" s="18" t="n">
        <v>14.8</v>
      </c>
      <c r="D22" s="18" t="n">
        <v>-66.7</v>
      </c>
      <c r="E22" s="19" t="n">
        <v>140</v>
      </c>
      <c r="F22" s="35" t="n">
        <f aca="false">E22*0.5144</f>
        <v>72.016</v>
      </c>
      <c r="G22" s="22" t="e">
        <f aca="false">arclethnm(C21,D21,C22,D22)/6</f>
        <v>#NAME?</v>
      </c>
      <c r="H22" s="36" t="e">
        <f aca="false">G22*0.5144</f>
        <v>#NAME?</v>
      </c>
      <c r="I22" s="19" t="n">
        <v>911</v>
      </c>
      <c r="J22" s="19" t="n">
        <v>0</v>
      </c>
      <c r="K22" s="34" t="n">
        <f aca="false">B22-8.75</f>
        <v>-2.75</v>
      </c>
    </row>
    <row r="23" customFormat="false" ht="12.75" hidden="false" customHeight="false" outlineLevel="0" collapsed="false">
      <c r="A23" s="34" t="n">
        <f aca="false">B23-0.5</f>
        <v>5.75</v>
      </c>
      <c r="B23" s="19" t="n">
        <v>6.25</v>
      </c>
      <c r="C23" s="18" t="n">
        <v>15.4</v>
      </c>
      <c r="D23" s="18" t="n">
        <v>-68.6</v>
      </c>
      <c r="E23" s="19" t="n">
        <v>145</v>
      </c>
      <c r="F23" s="35" t="n">
        <f aca="false">E23*0.5144</f>
        <v>74.588</v>
      </c>
      <c r="G23" s="22" t="e">
        <f aca="false">arclethnm(C22,D22,C23,D23)/6</f>
        <v>#NAME?</v>
      </c>
      <c r="H23" s="36" t="e">
        <f aca="false">G23*0.5144</f>
        <v>#NAME?</v>
      </c>
      <c r="I23" s="19" t="n">
        <v>916</v>
      </c>
      <c r="J23" s="19" t="n">
        <v>0</v>
      </c>
      <c r="K23" s="34" t="n">
        <f aca="false">B23-8.75</f>
        <v>-2.5</v>
      </c>
    </row>
    <row r="24" customFormat="false" ht="12.75" hidden="false" customHeight="false" outlineLevel="0" collapsed="false">
      <c r="A24" s="34" t="n">
        <f aca="false">B24-0.5</f>
        <v>6</v>
      </c>
      <c r="B24" s="19" t="n">
        <v>6.5</v>
      </c>
      <c r="C24" s="18" t="n">
        <v>15.9</v>
      </c>
      <c r="D24" s="18" t="n">
        <v>-70.5</v>
      </c>
      <c r="E24" s="19" t="n">
        <v>155</v>
      </c>
      <c r="F24" s="35" t="n">
        <f aca="false">E24*0.5144</f>
        <v>79.732</v>
      </c>
      <c r="G24" s="22" t="e">
        <f aca="false">arclethnm(C23,D23,C24,D24)/6</f>
        <v>#NAME?</v>
      </c>
      <c r="H24" s="36" t="e">
        <f aca="false">G24*0.5144</f>
        <v>#NAME?</v>
      </c>
      <c r="I24" s="19" t="n">
        <v>932</v>
      </c>
      <c r="J24" s="19" t="n">
        <v>0</v>
      </c>
      <c r="K24" s="34" t="n">
        <f aca="false">B24-8.75</f>
        <v>-2.25</v>
      </c>
    </row>
    <row r="25" customFormat="false" ht="12.75" hidden="false" customHeight="false" outlineLevel="0" collapsed="false">
      <c r="A25" s="34" t="n">
        <f aca="false">B25-0.5</f>
        <v>6.25</v>
      </c>
      <c r="B25" s="19" t="n">
        <v>6.75</v>
      </c>
      <c r="C25" s="18" t="n">
        <v>16.5</v>
      </c>
      <c r="D25" s="18" t="n">
        <v>-72.3</v>
      </c>
      <c r="E25" s="19" t="n">
        <v>150</v>
      </c>
      <c r="F25" s="35" t="n">
        <f aca="false">E25*0.5144</f>
        <v>77.16</v>
      </c>
      <c r="G25" s="22" t="e">
        <f aca="false">arclethnm(C24,D24,C25,D25)/6</f>
        <v>#NAME?</v>
      </c>
      <c r="H25" s="36" t="e">
        <f aca="false">G25*0.5144</f>
        <v>#NAME?</v>
      </c>
      <c r="I25" s="19" t="n">
        <v>940</v>
      </c>
      <c r="J25" s="19" t="n">
        <v>0</v>
      </c>
      <c r="K25" s="34" t="n">
        <f aca="false">B25-8.75</f>
        <v>-2</v>
      </c>
    </row>
    <row r="26" customFormat="false" ht="12.75" hidden="false" customHeight="false" outlineLevel="0" collapsed="false">
      <c r="A26" s="34" t="n">
        <f aca="false">B26-0.5</f>
        <v>6.5</v>
      </c>
      <c r="B26" s="19" t="n">
        <v>7</v>
      </c>
      <c r="C26" s="18" t="n">
        <v>17.8</v>
      </c>
      <c r="D26" s="18" t="n">
        <v>-73.8</v>
      </c>
      <c r="E26" s="19" t="n">
        <v>140</v>
      </c>
      <c r="F26" s="35" t="n">
        <f aca="false">E26*0.5144</f>
        <v>72.016</v>
      </c>
      <c r="G26" s="22" t="e">
        <f aca="false">arclethnm(C25,D25,C26,D26)/6</f>
        <v>#NAME?</v>
      </c>
      <c r="H26" s="36" t="e">
        <f aca="false">G26*0.5144</f>
        <v>#NAME?</v>
      </c>
      <c r="I26" s="19" t="n">
        <v>945</v>
      </c>
      <c r="J26" s="19" t="n">
        <v>0</v>
      </c>
      <c r="K26" s="34" t="n">
        <f aca="false">B26-8.75</f>
        <v>-1.75</v>
      </c>
    </row>
    <row r="27" customFormat="false" ht="12.75" hidden="false" customHeight="false" outlineLevel="0" collapsed="false">
      <c r="A27" s="34" t="n">
        <f aca="false">B27-0.5</f>
        <v>6.75</v>
      </c>
      <c r="B27" s="19" t="n">
        <v>7.25</v>
      </c>
      <c r="C27" s="18" t="n">
        <v>18.3</v>
      </c>
      <c r="D27" s="18" t="n">
        <v>-75.9</v>
      </c>
      <c r="E27" s="19" t="n">
        <v>115</v>
      </c>
      <c r="F27" s="35" t="n">
        <f aca="false">E27*0.5144</f>
        <v>59.156</v>
      </c>
      <c r="G27" s="22" t="e">
        <f aca="false">arclethnm(C26,D26,C27,D27)/6</f>
        <v>#NAME?</v>
      </c>
      <c r="H27" s="36" t="e">
        <f aca="false">G27*0.5144</f>
        <v>#NAME?</v>
      </c>
      <c r="I27" s="19" t="n">
        <v>955</v>
      </c>
      <c r="J27" s="19" t="n">
        <v>0</v>
      </c>
      <c r="K27" s="34" t="n">
        <f aca="false">B27-8.75</f>
        <v>-1.5</v>
      </c>
    </row>
    <row r="28" customFormat="false" ht="12.75" hidden="false" customHeight="false" outlineLevel="0" collapsed="false">
      <c r="A28" s="34" t="n">
        <f aca="false">B28-0.5</f>
        <v>7</v>
      </c>
      <c r="B28" s="19" t="n">
        <v>7.5</v>
      </c>
      <c r="C28" s="18" t="n">
        <v>19.2</v>
      </c>
      <c r="D28" s="18" t="n">
        <v>-78</v>
      </c>
      <c r="E28" s="19" t="n">
        <v>115</v>
      </c>
      <c r="F28" s="35" t="n">
        <f aca="false">E28*0.5144</f>
        <v>59.156</v>
      </c>
      <c r="G28" s="22" t="e">
        <f aca="false">arclethnm(C27,D27,C28,D28)/6</f>
        <v>#NAME?</v>
      </c>
      <c r="H28" s="36" t="e">
        <f aca="false">G28*0.5144</f>
        <v>#NAME?</v>
      </c>
      <c r="I28" s="19" t="n">
        <v>955</v>
      </c>
      <c r="J28" s="19" t="n">
        <v>0</v>
      </c>
      <c r="K28" s="34" t="n">
        <f aca="false">B28-8.75</f>
        <v>-1.25</v>
      </c>
    </row>
    <row r="29" customFormat="false" ht="12.75" hidden="false" customHeight="false" outlineLevel="0" collapsed="false">
      <c r="A29" s="34" t="n">
        <f aca="false">B29-0.5</f>
        <v>7.25</v>
      </c>
      <c r="B29" s="19" t="n">
        <v>7.75</v>
      </c>
      <c r="C29" s="18" t="n">
        <v>20</v>
      </c>
      <c r="D29" s="18" t="n">
        <v>-80.1</v>
      </c>
      <c r="E29" s="19" t="n">
        <v>125</v>
      </c>
      <c r="F29" s="35" t="n">
        <f aca="false">E29*0.5144</f>
        <v>64.3</v>
      </c>
      <c r="G29" s="22" t="e">
        <f aca="false">arclethnm(C28,D28,C29,D29)/6</f>
        <v>#NAME?</v>
      </c>
      <c r="H29" s="36" t="e">
        <f aca="false">G29*0.5144</f>
        <v>#NAME?</v>
      </c>
      <c r="I29" s="19" t="n">
        <v>955</v>
      </c>
      <c r="J29" s="19" t="n">
        <v>0</v>
      </c>
      <c r="K29" s="34" t="n">
        <f aca="false">B29-8.75</f>
        <v>-1</v>
      </c>
    </row>
    <row r="30" customFormat="false" ht="12.75" hidden="false" customHeight="false" outlineLevel="0" collapsed="false">
      <c r="A30" s="34" t="n">
        <f aca="false">B30-0.5</f>
        <v>7.5</v>
      </c>
      <c r="B30" s="19" t="n">
        <v>8</v>
      </c>
      <c r="C30" s="18" t="n">
        <v>20.1</v>
      </c>
      <c r="D30" s="18" t="n">
        <v>-81.9</v>
      </c>
      <c r="E30" s="19" t="n">
        <v>135</v>
      </c>
      <c r="F30" s="35" t="n">
        <f aca="false">E30*0.5144</f>
        <v>69.444</v>
      </c>
      <c r="G30" s="22" t="e">
        <f aca="false">arclethnm(C29,D29,C30,D30)/6</f>
        <v>#NAME?</v>
      </c>
      <c r="H30" s="36" t="e">
        <f aca="false">G30*0.5144</f>
        <v>#NAME?</v>
      </c>
      <c r="I30" s="19" t="n">
        <v>945</v>
      </c>
      <c r="J30" s="19" t="n">
        <v>0</v>
      </c>
      <c r="K30" s="34" t="n">
        <f aca="false">B30-B33</f>
        <v>-0.75</v>
      </c>
    </row>
    <row r="31" customFormat="false" ht="12.75" hidden="false" customHeight="false" outlineLevel="0" collapsed="false">
      <c r="A31" s="34" t="n">
        <f aca="false">B31-0.5</f>
        <v>7.75</v>
      </c>
      <c r="B31" s="19" t="n">
        <v>8.25</v>
      </c>
      <c r="C31" s="18" t="n">
        <v>20.4</v>
      </c>
      <c r="D31" s="18" t="n">
        <v>-83.6</v>
      </c>
      <c r="E31" s="19" t="n">
        <v>145</v>
      </c>
      <c r="F31" s="35" t="n">
        <f aca="false">E31*0.5144</f>
        <v>74.588</v>
      </c>
      <c r="G31" s="22" t="e">
        <f aca="false">arclethnm(C30,D30,C31,D31)/6</f>
        <v>#NAME?</v>
      </c>
      <c r="H31" s="36" t="e">
        <f aca="false">G31*0.5144</f>
        <v>#NAME?</v>
      </c>
      <c r="I31" s="19" t="n">
        <v>935</v>
      </c>
      <c r="J31" s="19" t="n">
        <v>0</v>
      </c>
      <c r="K31" s="34" t="n">
        <f aca="false">B31-B33</f>
        <v>-0.5</v>
      </c>
    </row>
    <row r="32" customFormat="false" ht="12.75" hidden="false" customHeight="false" outlineLevel="0" collapsed="false">
      <c r="A32" s="34" t="n">
        <f aca="false">B32-0.5</f>
        <v>8</v>
      </c>
      <c r="B32" s="19" t="n">
        <v>8.5</v>
      </c>
      <c r="C32" s="18" t="n">
        <v>21</v>
      </c>
      <c r="D32" s="18" t="n">
        <v>-84.8</v>
      </c>
      <c r="E32" s="19" t="n">
        <v>155</v>
      </c>
      <c r="F32" s="35" t="n">
        <f aca="false">E32*0.5144</f>
        <v>79.732</v>
      </c>
      <c r="G32" s="22" t="e">
        <f aca="false">arclethnm(C31,D31,C32,D32)/6</f>
        <v>#NAME?</v>
      </c>
      <c r="H32" s="36" t="e">
        <f aca="false">G32*0.5144</f>
        <v>#NAME?</v>
      </c>
      <c r="I32" s="19" t="n">
        <v>910</v>
      </c>
      <c r="J32" s="19" t="n">
        <v>0</v>
      </c>
      <c r="K32" s="34" t="n">
        <f aca="false">B32-B33</f>
        <v>-0.25</v>
      </c>
    </row>
    <row r="33" customFormat="false" ht="12.75" hidden="false" customHeight="false" outlineLevel="0" collapsed="false">
      <c r="A33" s="34" t="n">
        <f aca="false">B33-0.5</f>
        <v>8.25</v>
      </c>
      <c r="B33" s="19" t="n">
        <v>8.75</v>
      </c>
      <c r="C33" s="18" t="n">
        <v>21.8</v>
      </c>
      <c r="D33" s="18" t="n">
        <v>-86.4</v>
      </c>
      <c r="E33" s="19" t="n">
        <v>165</v>
      </c>
      <c r="F33" s="35" t="n">
        <f aca="false">E33*0.5144</f>
        <v>84.876</v>
      </c>
      <c r="G33" s="22" t="e">
        <f aca="false">arclethnm(C32,D32,C33,D33)/6</f>
        <v>#NAME?</v>
      </c>
      <c r="H33" s="36" t="e">
        <f aca="false">G33*0.5144</f>
        <v>#NAME?</v>
      </c>
      <c r="I33" s="20" t="n">
        <v>899</v>
      </c>
      <c r="J33" s="19" t="n">
        <v>0</v>
      </c>
      <c r="K33" s="34" t="n">
        <v>0</v>
      </c>
    </row>
    <row r="34" customFormat="false" ht="12.75" hidden="false" customHeight="false" outlineLevel="0" collapsed="false">
      <c r="A34" s="34" t="n">
        <f aca="false">B34-0.5</f>
        <v>8.5</v>
      </c>
      <c r="B34" s="19" t="n">
        <v>9</v>
      </c>
      <c r="C34" s="18" t="n">
        <v>22.2</v>
      </c>
      <c r="D34" s="18" t="n">
        <v>-87.9</v>
      </c>
      <c r="E34" s="19" t="n">
        <v>155</v>
      </c>
      <c r="F34" s="35" t="n">
        <f aca="false">E34*0.5144</f>
        <v>79.732</v>
      </c>
      <c r="G34" s="22" t="e">
        <f aca="false">arclethnm(C33,D33,C34,D34)/6</f>
        <v>#NAME?</v>
      </c>
      <c r="H34" s="36" t="e">
        <f aca="false">G34*0.5144</f>
        <v>#NAME?</v>
      </c>
      <c r="I34" s="19" t="n">
        <v>920</v>
      </c>
      <c r="J34" s="19" t="n">
        <v>0</v>
      </c>
      <c r="K34" s="34" t="n">
        <f aca="false">B34-8.75</f>
        <v>0.25</v>
      </c>
    </row>
    <row r="35" customFormat="false" ht="12.75" hidden="false" customHeight="false" outlineLevel="0" collapsed="false">
      <c r="A35" s="34" t="n">
        <f aca="false">B35-0.5</f>
        <v>8.75</v>
      </c>
      <c r="B35" s="19" t="n">
        <v>9.25</v>
      </c>
      <c r="C35" s="18" t="n">
        <v>22.8</v>
      </c>
      <c r="D35" s="18" t="n">
        <v>-89.2</v>
      </c>
      <c r="E35" s="19" t="n">
        <v>130</v>
      </c>
      <c r="F35" s="35" t="n">
        <f aca="false">E35*0.5144</f>
        <v>66.872</v>
      </c>
      <c r="G35" s="22" t="e">
        <f aca="false">arclethnm(C34,D34,C35,D35)/6</f>
        <v>#NAME?</v>
      </c>
      <c r="H35" s="36" t="e">
        <f aca="false">G35*0.5144</f>
        <v>#NAME?</v>
      </c>
      <c r="I35" s="19" t="n">
        <v>945</v>
      </c>
      <c r="J35" s="19" t="n">
        <v>0</v>
      </c>
      <c r="K35" s="34" t="n">
        <f aca="false">B35-8.75</f>
        <v>0.5</v>
      </c>
    </row>
    <row r="36" customFormat="false" ht="12.75" hidden="false" customHeight="false" outlineLevel="0" collapsed="false">
      <c r="A36" s="34" t="n">
        <f aca="false">B36-0.5</f>
        <v>9</v>
      </c>
      <c r="B36" s="19" t="n">
        <v>9.5</v>
      </c>
      <c r="C36" s="18" t="n">
        <v>23.4</v>
      </c>
      <c r="D36" s="18" t="n">
        <v>-90.5</v>
      </c>
      <c r="E36" s="19" t="n">
        <v>115</v>
      </c>
      <c r="F36" s="35" t="n">
        <f aca="false">E36*0.5144</f>
        <v>59.156</v>
      </c>
      <c r="G36" s="22" t="e">
        <f aca="false">arclethnm(C35,D35,C36,D36)/6</f>
        <v>#NAME?</v>
      </c>
      <c r="H36" s="36" t="e">
        <f aca="false">G36*0.5144</f>
        <v>#NAME?</v>
      </c>
      <c r="I36" s="19" t="n">
        <v>960</v>
      </c>
      <c r="J36" s="19" t="n">
        <v>0</v>
      </c>
      <c r="K36" s="34" t="n">
        <f aca="false">B36-8.75</f>
        <v>0.75</v>
      </c>
    </row>
    <row r="37" customFormat="false" ht="12.75" hidden="false" customHeight="false" outlineLevel="0" collapsed="false">
      <c r="A37" s="34" t="n">
        <f aca="false">B37-0.5</f>
        <v>9.25</v>
      </c>
      <c r="B37" s="19" t="n">
        <v>9.75</v>
      </c>
      <c r="C37" s="18" t="n">
        <v>23.9</v>
      </c>
      <c r="D37" s="18" t="n">
        <v>-91.8</v>
      </c>
      <c r="E37" s="19" t="n">
        <v>130</v>
      </c>
      <c r="F37" s="35" t="n">
        <f aca="false">E37*0.5144</f>
        <v>66.872</v>
      </c>
      <c r="G37" s="22" t="e">
        <f aca="false">arclethnm(C36,D36,C37,D37)/6</f>
        <v>#NAME?</v>
      </c>
      <c r="H37" s="36" t="e">
        <f aca="false">G37*0.5144</f>
        <v>#NAME?</v>
      </c>
      <c r="I37" s="19" t="n">
        <v>940</v>
      </c>
      <c r="J37" s="19" t="n">
        <v>0</v>
      </c>
      <c r="K37" s="34" t="n">
        <f aca="false">B37-8.75</f>
        <v>1</v>
      </c>
    </row>
    <row r="38" customFormat="false" ht="12.75" hidden="false" customHeight="false" outlineLevel="0" collapsed="false">
      <c r="A38" s="34" t="n">
        <f aca="false">B38-0.5</f>
        <v>9.5</v>
      </c>
      <c r="B38" s="19" t="n">
        <v>10</v>
      </c>
      <c r="C38" s="18" t="n">
        <v>24.5</v>
      </c>
      <c r="D38" s="18" t="n">
        <v>-93</v>
      </c>
      <c r="E38" s="19" t="n">
        <v>145</v>
      </c>
      <c r="F38" s="35" t="n">
        <f aca="false">E38*0.5144</f>
        <v>74.588</v>
      </c>
      <c r="G38" s="22" t="e">
        <f aca="false">arclethnm(C37,D37,C38,D38)/6</f>
        <v>#NAME?</v>
      </c>
      <c r="H38" s="36" t="e">
        <f aca="false">G38*0.5144</f>
        <v>#NAME?</v>
      </c>
      <c r="I38" s="19" t="n">
        <v>912</v>
      </c>
      <c r="J38" s="19" t="n">
        <v>0</v>
      </c>
      <c r="K38" s="34" t="n">
        <f aca="false">B38-8.75</f>
        <v>1.25</v>
      </c>
    </row>
    <row r="39" customFormat="false" ht="12.75" hidden="false" customHeight="false" outlineLevel="0" collapsed="false">
      <c r="A39" s="34" t="n">
        <f aca="false">B39-0.5</f>
        <v>9.75</v>
      </c>
      <c r="B39" s="19" t="n">
        <v>10.25</v>
      </c>
      <c r="C39" s="18" t="n">
        <v>25</v>
      </c>
      <c r="D39" s="18" t="n">
        <v>-94.2</v>
      </c>
      <c r="E39" s="19" t="n">
        <v>155</v>
      </c>
      <c r="F39" s="35" t="n">
        <f aca="false">E39*0.5144</f>
        <v>79.732</v>
      </c>
      <c r="G39" s="22" t="e">
        <f aca="false">arclethnm(C38,D38,C39,D39)/6</f>
        <v>#NAME?</v>
      </c>
      <c r="H39" s="36" t="e">
        <f aca="false">G39*0.5144</f>
        <v>#NAME?</v>
      </c>
      <c r="I39" s="19" t="n">
        <v>909</v>
      </c>
      <c r="J39" s="19" t="n">
        <v>0</v>
      </c>
      <c r="K39" s="34" t="n">
        <f aca="false">B39-8.75</f>
        <v>1.5</v>
      </c>
    </row>
    <row r="40" customFormat="false" ht="12.75" hidden="false" customHeight="false" outlineLevel="0" collapsed="false">
      <c r="A40" s="34" t="n">
        <f aca="false">B40-0.5</f>
        <v>10</v>
      </c>
      <c r="B40" s="19" t="n">
        <v>10.5</v>
      </c>
      <c r="C40" s="18" t="n">
        <v>25.2</v>
      </c>
      <c r="D40" s="18" t="n">
        <v>-95.4</v>
      </c>
      <c r="E40" s="19" t="n">
        <v>140</v>
      </c>
      <c r="F40" s="35" t="n">
        <f aca="false">E40*0.5144</f>
        <v>72.016</v>
      </c>
      <c r="G40" s="22" t="e">
        <f aca="false">arclethnm(C39,D39,C40,D40)/6</f>
        <v>#NAME?</v>
      </c>
      <c r="H40" s="36" t="e">
        <f aca="false">G40*0.5144</f>
        <v>#NAME?</v>
      </c>
      <c r="I40" s="19" t="n">
        <v>916</v>
      </c>
      <c r="J40" s="19" t="n">
        <v>0</v>
      </c>
      <c r="K40" s="34" t="n">
        <f aca="false">B40-8.75</f>
        <v>1.75</v>
      </c>
    </row>
    <row r="41" customFormat="false" ht="12.75" hidden="false" customHeight="false" outlineLevel="0" collapsed="false">
      <c r="A41" s="34" t="n">
        <f aca="false">B41-0.5</f>
        <v>10.25</v>
      </c>
      <c r="B41" s="19" t="n">
        <v>10.75</v>
      </c>
      <c r="C41" s="18" t="n">
        <v>25.4</v>
      </c>
      <c r="D41" s="18" t="n">
        <v>-96.1</v>
      </c>
      <c r="E41" s="19" t="n">
        <v>125</v>
      </c>
      <c r="F41" s="35" t="n">
        <f aca="false">E41*0.5144</f>
        <v>64.3</v>
      </c>
      <c r="G41" s="22" t="e">
        <f aca="false">arclethnm(C40,D40,C41,D41)/6</f>
        <v>#NAME?</v>
      </c>
      <c r="H41" s="36" t="e">
        <f aca="false">G41*0.5144</f>
        <v>#NAME?</v>
      </c>
      <c r="I41" s="19" t="n">
        <v>925</v>
      </c>
      <c r="J41" s="19" t="n">
        <v>0</v>
      </c>
      <c r="K41" s="34" t="n">
        <f aca="false">B41-8.75</f>
        <v>2</v>
      </c>
    </row>
    <row r="42" customFormat="false" ht="12.75" hidden="false" customHeight="false" outlineLevel="0" collapsed="false">
      <c r="A42" s="34" t="n">
        <f aca="false">B42-0.5</f>
        <v>10.5</v>
      </c>
      <c r="B42" s="19" t="n">
        <v>11</v>
      </c>
      <c r="C42" s="18" t="n">
        <v>25.8</v>
      </c>
      <c r="D42" s="18" t="n">
        <v>-96.8</v>
      </c>
      <c r="E42" s="19" t="n">
        <v>110</v>
      </c>
      <c r="F42" s="35" t="n">
        <f aca="false">E42*0.5144</f>
        <v>56.584</v>
      </c>
      <c r="G42" s="22" t="e">
        <f aca="false">arclethnm(C41,D41,C42,D42)/6</f>
        <v>#NAME?</v>
      </c>
      <c r="H42" s="36" t="e">
        <f aca="false">G42*0.5144</f>
        <v>#NAME?</v>
      </c>
      <c r="I42" s="19" t="n">
        <v>935</v>
      </c>
      <c r="J42" s="19" t="n">
        <v>0</v>
      </c>
      <c r="K42" s="34" t="n">
        <f aca="false">B42-8.75</f>
        <v>2.25</v>
      </c>
    </row>
    <row r="43" customFormat="false" ht="12.75" hidden="false" customHeight="false" outlineLevel="0" collapsed="false">
      <c r="A43" s="34" t="n">
        <f aca="false">B43-0.5</f>
        <v>10.75</v>
      </c>
      <c r="B43" s="19" t="n">
        <v>11.25</v>
      </c>
      <c r="C43" s="18" t="n">
        <v>26.1</v>
      </c>
      <c r="D43" s="18" t="n">
        <v>-97.2</v>
      </c>
      <c r="E43" s="19" t="n">
        <v>100</v>
      </c>
      <c r="F43" s="35" t="n">
        <f aca="false">E43*0.5144</f>
        <v>51.44</v>
      </c>
      <c r="G43" s="22" t="e">
        <f aca="false">arclethnm(C42,D42,C43,D43)/6</f>
        <v>#NAME?</v>
      </c>
      <c r="H43" s="36" t="e">
        <f aca="false">G43*0.5144</f>
        <v>#NAME?</v>
      </c>
      <c r="I43" s="19" t="n">
        <v>945</v>
      </c>
      <c r="J43" s="19" t="n">
        <v>0</v>
      </c>
      <c r="K43" s="34" t="n">
        <f aca="false">B43-8.75</f>
        <v>2.5</v>
      </c>
    </row>
    <row r="44" customFormat="false" ht="12.75" hidden="false" customHeight="false" outlineLevel="0" collapsed="false">
      <c r="A44" s="34" t="n">
        <f aca="false">B44-0.5</f>
        <v>11</v>
      </c>
      <c r="B44" s="19" t="n">
        <v>11.5</v>
      </c>
      <c r="C44" s="18" t="n">
        <v>26.7</v>
      </c>
      <c r="D44" s="18" t="n">
        <v>-98.1</v>
      </c>
      <c r="E44" s="19" t="n">
        <v>85</v>
      </c>
      <c r="F44" s="35" t="n">
        <f aca="false">E44*0.5144</f>
        <v>43.724</v>
      </c>
      <c r="G44" s="22" t="e">
        <f aca="false">arclethnm(C43,D43,C44,D44)/6</f>
        <v>#NAME?</v>
      </c>
      <c r="H44" s="36" t="e">
        <f aca="false">G44*0.5144</f>
        <v>#NAME?</v>
      </c>
      <c r="I44" s="19" t="n">
        <v>960</v>
      </c>
      <c r="J44" s="19" t="n">
        <v>0</v>
      </c>
      <c r="K44" s="34" t="n">
        <f aca="false">B44-8.75</f>
        <v>2.75</v>
      </c>
    </row>
    <row r="45" customFormat="false" ht="12.75" hidden="false" customHeight="false" outlineLevel="0" collapsed="false">
      <c r="A45" s="34" t="n">
        <f aca="false">B45-0.5</f>
        <v>11.25</v>
      </c>
      <c r="B45" s="19" t="n">
        <v>11.75</v>
      </c>
      <c r="C45" s="18" t="n">
        <v>27.3</v>
      </c>
      <c r="D45" s="18" t="n">
        <v>-99</v>
      </c>
      <c r="E45" s="19" t="n">
        <v>70</v>
      </c>
      <c r="F45" s="35" t="n">
        <f aca="false">E45*0.5144</f>
        <v>36.008</v>
      </c>
      <c r="G45" s="22" t="e">
        <f aca="false">arclethnm(C44,D44,C45,D45)/6</f>
        <v>#NAME?</v>
      </c>
      <c r="H45" s="36" t="e">
        <f aca="false">G45*0.5144</f>
        <v>#NAME?</v>
      </c>
      <c r="I45" s="19" t="n">
        <v>970</v>
      </c>
      <c r="J45" s="19" t="n">
        <v>0</v>
      </c>
      <c r="K45" s="34" t="n">
        <f aca="false">B45-8.75</f>
        <v>3</v>
      </c>
    </row>
    <row r="46" customFormat="false" ht="12.75" hidden="false" customHeight="false" outlineLevel="0" collapsed="false">
      <c r="A46" s="34" t="n">
        <f aca="false">B46-0.5</f>
        <v>11.5</v>
      </c>
      <c r="B46" s="19" t="n">
        <v>12</v>
      </c>
      <c r="C46" s="18" t="n">
        <v>27.7</v>
      </c>
      <c r="D46" s="18" t="n">
        <v>-99.8</v>
      </c>
      <c r="E46" s="19" t="n">
        <v>60</v>
      </c>
      <c r="F46" s="35" t="n">
        <f aca="false">E46*0.5144</f>
        <v>30.864</v>
      </c>
      <c r="G46" s="22" t="e">
        <f aca="false">arclethnm(C45,D45,C46,D46)/6</f>
        <v>#NAME?</v>
      </c>
      <c r="H46" s="36" t="e">
        <f aca="false">G46*0.5144</f>
        <v>#NAME?</v>
      </c>
      <c r="I46" s="19" t="n">
        <v>990</v>
      </c>
      <c r="J46" s="19" t="n">
        <v>0</v>
      </c>
      <c r="K46" s="34" t="n">
        <f aca="false">B46-8.75</f>
        <v>3.25</v>
      </c>
    </row>
    <row r="47" customFormat="false" ht="12.75" hidden="false" customHeight="false" outlineLevel="0" collapsed="false">
      <c r="A47" s="34" t="n">
        <f aca="false">B47-0.5</f>
        <v>11.75</v>
      </c>
      <c r="B47" s="19" t="n">
        <v>12.25</v>
      </c>
      <c r="C47" s="18" t="n">
        <v>28</v>
      </c>
      <c r="D47" s="18" t="n">
        <v>-100.9</v>
      </c>
      <c r="E47" s="19" t="n">
        <v>45</v>
      </c>
      <c r="F47" s="35" t="n">
        <f aca="false">E47*0.5144</f>
        <v>23.148</v>
      </c>
      <c r="G47" s="22" t="e">
        <f aca="false">arclethnm(C46,D46,C47,D47)/6</f>
        <v>#NAME?</v>
      </c>
      <c r="H47" s="36" t="e">
        <f aca="false">G47*0.5144</f>
        <v>#NAME?</v>
      </c>
      <c r="I47" s="19" t="n">
        <v>1000</v>
      </c>
      <c r="J47" s="19" t="n">
        <v>0</v>
      </c>
      <c r="K47" s="34" t="n">
        <f aca="false">B47-8.75</f>
        <v>3.5</v>
      </c>
    </row>
    <row r="48" customFormat="false" ht="12.75" hidden="false" customHeight="false" outlineLevel="0" collapsed="false">
      <c r="A48" s="34" t="n">
        <f aca="false">B48-0.5</f>
        <v>12</v>
      </c>
      <c r="B48" s="19" t="n">
        <v>12.5</v>
      </c>
      <c r="C48" s="18" t="n">
        <v>28.5</v>
      </c>
      <c r="D48" s="18" t="n">
        <v>-101.9</v>
      </c>
      <c r="E48" s="19" t="n">
        <v>30</v>
      </c>
      <c r="F48" s="35" t="n">
        <f aca="false">E48*0.5144</f>
        <v>15.432</v>
      </c>
      <c r="G48" s="22" t="e">
        <f aca="false">arclethnm(C47,D47,C48,D48)/6</f>
        <v>#NAME?</v>
      </c>
      <c r="H48" s="36" t="e">
        <f aca="false">G48*0.5144</f>
        <v>#NAME?</v>
      </c>
      <c r="I48" s="19" t="n">
        <v>1005</v>
      </c>
      <c r="J48" s="19" t="n">
        <v>0</v>
      </c>
      <c r="K48" s="34" t="n">
        <f aca="false">B48-8.75</f>
        <v>3.75</v>
      </c>
    </row>
    <row r="49" customFormat="false" ht="12.75" hidden="false" customHeight="false" outlineLevel="0" collapsed="false">
      <c r="A49" s="34" t="n">
        <f aca="false">B49-0.5</f>
        <v>12.25</v>
      </c>
      <c r="B49" s="19" t="n">
        <v>12.75</v>
      </c>
      <c r="C49" s="18" t="n">
        <v>28.9</v>
      </c>
      <c r="D49" s="18" t="n">
        <v>-102.9</v>
      </c>
      <c r="E49" s="19" t="n">
        <v>30</v>
      </c>
      <c r="F49" s="35" t="n">
        <f aca="false">E49*0.5144</f>
        <v>15.432</v>
      </c>
      <c r="G49" s="22" t="e">
        <f aca="false">arclethnm(C48,D48,C49,D49)/6</f>
        <v>#NAME?</v>
      </c>
      <c r="H49" s="36" t="e">
        <f aca="false">G49*0.5144</f>
        <v>#NAME?</v>
      </c>
      <c r="I49" s="19" t="n">
        <v>1008</v>
      </c>
      <c r="J49" s="19" t="n">
        <v>0</v>
      </c>
      <c r="K49" s="34" t="n">
        <f aca="false">B49-8.75</f>
        <v>4</v>
      </c>
    </row>
    <row r="50" customFormat="false" ht="12.75" hidden="false" customHeight="false" outlineLevel="0" collapsed="false">
      <c r="A50" s="0"/>
      <c r="B50" s="0"/>
      <c r="C50" s="0"/>
      <c r="D50" s="0"/>
      <c r="E50" s="0"/>
      <c r="F50" s="0"/>
      <c r="G50" s="0"/>
      <c r="H50" s="36"/>
      <c r="I50" s="0"/>
      <c r="J50" s="0"/>
      <c r="K50" s="0"/>
    </row>
    <row r="51" customFormat="false" ht="12.75" hidden="false" customHeight="false" outlineLevel="0" collapsed="false">
      <c r="A51" s="0"/>
      <c r="B51" s="0"/>
      <c r="C51" s="0"/>
      <c r="D51" s="0"/>
      <c r="E51" s="0"/>
      <c r="F51" s="0"/>
      <c r="G51" s="0"/>
      <c r="H51" s="36"/>
      <c r="I51" s="0"/>
      <c r="J51" s="0"/>
      <c r="K51" s="0"/>
    </row>
    <row r="52" customFormat="false" ht="12.75" hidden="false" customHeight="false" outlineLevel="0" collapsed="false">
      <c r="A52" s="0"/>
      <c r="B52" s="20" t="s">
        <v>154</v>
      </c>
      <c r="C52" s="20" t="s">
        <v>113</v>
      </c>
      <c r="D52" s="20"/>
      <c r="E52" s="0"/>
      <c r="F52" s="21"/>
      <c r="G52" s="0"/>
      <c r="H52" s="36"/>
      <c r="I52" s="20"/>
      <c r="J52" s="20"/>
      <c r="K52" s="0"/>
    </row>
    <row r="53" customFormat="false" ht="12.75" hidden="false" customHeight="false" outlineLevel="0" collapsed="false">
      <c r="A53" s="34" t="n">
        <v>1</v>
      </c>
      <c r="B53" s="34" t="n">
        <v>1.5</v>
      </c>
      <c r="C53" s="18" t="n">
        <v>27.3</v>
      </c>
      <c r="D53" s="18" t="n">
        <v>-90.5</v>
      </c>
      <c r="E53" s="18" t="n">
        <v>30</v>
      </c>
      <c r="F53" s="35" t="n">
        <f aca="false">E53*0.5144</f>
        <v>15.432</v>
      </c>
      <c r="G53" s="0"/>
      <c r="H53" s="36"/>
      <c r="I53" s="18" t="n">
        <v>1009</v>
      </c>
      <c r="J53" s="18" t="n">
        <v>0</v>
      </c>
      <c r="K53" s="19" t="n">
        <f aca="false">B53-4.25</f>
        <v>-2.75</v>
      </c>
    </row>
    <row r="54" customFormat="false" ht="12.75" hidden="false" customHeight="false" outlineLevel="0" collapsed="false">
      <c r="A54" s="34" t="n">
        <f aca="false">B54-0.5</f>
        <v>1.25</v>
      </c>
      <c r="B54" s="34" t="n">
        <v>1.75</v>
      </c>
      <c r="C54" s="18" t="n">
        <v>27.2</v>
      </c>
      <c r="D54" s="18" t="n">
        <v>-91</v>
      </c>
      <c r="E54" s="18" t="n">
        <v>40</v>
      </c>
      <c r="F54" s="35" t="n">
        <f aca="false">E54*0.5144</f>
        <v>20.576</v>
      </c>
      <c r="G54" s="22" t="e">
        <f aca="false">arclethnm(C53,D53,C54,D54)/6</f>
        <v>#NAME?</v>
      </c>
      <c r="H54" s="36" t="e">
        <f aca="false">G54*0.5144</f>
        <v>#NAME?</v>
      </c>
      <c r="I54" s="18" t="n">
        <v>1006</v>
      </c>
      <c r="J54" s="18" t="n">
        <v>0</v>
      </c>
      <c r="K54" s="19" t="n">
        <f aca="false">B54-4.25</f>
        <v>-2.5</v>
      </c>
    </row>
    <row r="55" customFormat="false" ht="12.75" hidden="false" customHeight="false" outlineLevel="0" collapsed="false">
      <c r="A55" s="34" t="n">
        <f aca="false">B55-0.5</f>
        <v>1.5</v>
      </c>
      <c r="B55" s="34" t="n">
        <v>2</v>
      </c>
      <c r="C55" s="18" t="n">
        <v>27.1</v>
      </c>
      <c r="D55" s="18" t="n">
        <v>-91.5</v>
      </c>
      <c r="E55" s="18" t="n">
        <v>45</v>
      </c>
      <c r="F55" s="35" t="n">
        <f aca="false">E55*0.5144</f>
        <v>23.148</v>
      </c>
      <c r="G55" s="22" t="e">
        <f aca="false">arclethnm(C54,D54,C55,D55)/6</f>
        <v>#NAME?</v>
      </c>
      <c r="H55" s="36" t="e">
        <f aca="false">G55*0.5144</f>
        <v>#NAME?</v>
      </c>
      <c r="I55" s="18" t="n">
        <v>1005</v>
      </c>
      <c r="J55" s="18" t="n">
        <v>0</v>
      </c>
      <c r="K55" s="19" t="n">
        <f aca="false">B55-4.25</f>
        <v>-2.25</v>
      </c>
    </row>
    <row r="56" customFormat="false" ht="12.75" hidden="false" customHeight="false" outlineLevel="0" collapsed="false">
      <c r="A56" s="34" t="n">
        <f aca="false">B56-0.5</f>
        <v>1.75</v>
      </c>
      <c r="B56" s="34" t="n">
        <v>2.25</v>
      </c>
      <c r="C56" s="18" t="n">
        <v>27</v>
      </c>
      <c r="D56" s="18" t="n">
        <v>-92</v>
      </c>
      <c r="E56" s="18" t="n">
        <v>50</v>
      </c>
      <c r="F56" s="35" t="n">
        <f aca="false">E56*0.5144</f>
        <v>25.72</v>
      </c>
      <c r="G56" s="22" t="e">
        <f aca="false">arclethnm(C55,D55,C56,D56)/6</f>
        <v>#NAME?</v>
      </c>
      <c r="H56" s="36" t="e">
        <f aca="false">G56*0.5144</f>
        <v>#NAME?</v>
      </c>
      <c r="I56" s="18" t="n">
        <v>1004</v>
      </c>
      <c r="J56" s="18" t="n">
        <v>0</v>
      </c>
      <c r="K56" s="19" t="n">
        <f aca="false">B56-4.25</f>
        <v>-2</v>
      </c>
    </row>
    <row r="57" customFormat="false" ht="12.75" hidden="false" customHeight="false" outlineLevel="0" collapsed="false">
      <c r="A57" s="34" t="n">
        <f aca="false">B57-0.5</f>
        <v>2</v>
      </c>
      <c r="B57" s="34" t="n">
        <v>2.5</v>
      </c>
      <c r="C57" s="18" t="n">
        <v>27.1</v>
      </c>
      <c r="D57" s="18" t="n">
        <v>-92.4</v>
      </c>
      <c r="E57" s="18" t="n">
        <v>55</v>
      </c>
      <c r="F57" s="35" t="n">
        <f aca="false">E57*0.5144</f>
        <v>28.292</v>
      </c>
      <c r="G57" s="22" t="e">
        <f aca="false">arclethnm(C56,D56,C57,D57)/6</f>
        <v>#NAME?</v>
      </c>
      <c r="H57" s="36" t="e">
        <f aca="false">G57*0.5144</f>
        <v>#NAME?</v>
      </c>
      <c r="I57" s="18" t="n">
        <v>1002</v>
      </c>
      <c r="J57" s="18" t="n">
        <v>0</v>
      </c>
      <c r="K57" s="19" t="n">
        <f aca="false">B57-4.25</f>
        <v>-1.75</v>
      </c>
    </row>
    <row r="58" customFormat="false" ht="12.75" hidden="false" customHeight="false" outlineLevel="0" collapsed="false">
      <c r="A58" s="34" t="n">
        <f aca="false">B58-0.5</f>
        <v>2.25</v>
      </c>
      <c r="B58" s="34" t="n">
        <v>2.75</v>
      </c>
      <c r="C58" s="18" t="n">
        <v>27.3</v>
      </c>
      <c r="D58" s="18" t="n">
        <v>-92.8</v>
      </c>
      <c r="E58" s="18" t="n">
        <v>60</v>
      </c>
      <c r="F58" s="35" t="n">
        <f aca="false">E58*0.5144</f>
        <v>30.864</v>
      </c>
      <c r="G58" s="22" t="e">
        <f aca="false">arclethnm(C57,D57,C58,D58)/6</f>
        <v>#NAME?</v>
      </c>
      <c r="H58" s="36" t="e">
        <f aca="false">G58*0.5144</f>
        <v>#NAME?</v>
      </c>
      <c r="I58" s="18" t="n">
        <v>998</v>
      </c>
      <c r="J58" s="18" t="n">
        <v>0</v>
      </c>
      <c r="K58" s="19" t="n">
        <f aca="false">B58-4.25</f>
        <v>-1.5</v>
      </c>
    </row>
    <row r="59" customFormat="false" ht="12.75" hidden="false" customHeight="false" outlineLevel="0" collapsed="false">
      <c r="A59" s="34" t="n">
        <f aca="false">B59-0.5</f>
        <v>2.5</v>
      </c>
      <c r="B59" s="34" t="n">
        <v>3</v>
      </c>
      <c r="C59" s="18" t="n">
        <v>27.4</v>
      </c>
      <c r="D59" s="18" t="n">
        <v>-93.3</v>
      </c>
      <c r="E59" s="18" t="n">
        <v>65</v>
      </c>
      <c r="F59" s="35" t="n">
        <f aca="false">E59*0.5144</f>
        <v>33.436</v>
      </c>
      <c r="G59" s="22" t="e">
        <f aca="false">arclethnm(C58,D58,C59,D59)/6</f>
        <v>#NAME?</v>
      </c>
      <c r="H59" s="36" t="e">
        <f aca="false">G59*0.5144</f>
        <v>#NAME?</v>
      </c>
      <c r="I59" s="18" t="n">
        <v>991</v>
      </c>
      <c r="J59" s="18" t="n">
        <v>0</v>
      </c>
      <c r="K59" s="19" t="n">
        <f aca="false">B59-4.25</f>
        <v>-1.25</v>
      </c>
    </row>
    <row r="60" customFormat="false" ht="12.75" hidden="false" customHeight="false" outlineLevel="0" collapsed="false">
      <c r="A60" s="34" t="n">
        <f aca="false">B60-0.5</f>
        <v>2.75</v>
      </c>
      <c r="B60" s="34" t="n">
        <v>3.25</v>
      </c>
      <c r="C60" s="18" t="n">
        <v>27.7</v>
      </c>
      <c r="D60" s="18" t="n">
        <v>-93.7</v>
      </c>
      <c r="E60" s="18" t="n">
        <v>70</v>
      </c>
      <c r="F60" s="35" t="n">
        <f aca="false">E60*0.5144</f>
        <v>36.008</v>
      </c>
      <c r="G60" s="22" t="e">
        <f aca="false">arclethnm(C59,D59,C60,D60)/6</f>
        <v>#NAME?</v>
      </c>
      <c r="H60" s="36" t="e">
        <f aca="false">G60*0.5144</f>
        <v>#NAME?</v>
      </c>
      <c r="I60" s="18" t="n">
        <v>987</v>
      </c>
      <c r="J60" s="18" t="n">
        <v>0</v>
      </c>
      <c r="K60" s="19" t="n">
        <f aca="false">B60-4.25</f>
        <v>-1</v>
      </c>
    </row>
    <row r="61" customFormat="false" ht="12.75" hidden="false" customHeight="false" outlineLevel="0" collapsed="false">
      <c r="A61" s="34" t="n">
        <f aca="false">B61-0.5</f>
        <v>3</v>
      </c>
      <c r="B61" s="34" t="n">
        <v>3.5</v>
      </c>
      <c r="C61" s="18" t="n">
        <v>27.9</v>
      </c>
      <c r="D61" s="18" t="n">
        <v>-94.2</v>
      </c>
      <c r="E61" s="18" t="n">
        <v>75</v>
      </c>
      <c r="F61" s="35" t="n">
        <f aca="false">E61*0.5144</f>
        <v>38.58</v>
      </c>
      <c r="G61" s="22" t="e">
        <f aca="false">arclethnm(C60,D60,C61,D61)/6</f>
        <v>#NAME?</v>
      </c>
      <c r="H61" s="36" t="e">
        <f aca="false">G61*0.5144</f>
        <v>#NAME?</v>
      </c>
      <c r="I61" s="18" t="n">
        <v>983</v>
      </c>
      <c r="J61" s="18" t="n">
        <v>0</v>
      </c>
      <c r="K61" s="19" t="n">
        <f aca="false">B61-4.25</f>
        <v>-0.75</v>
      </c>
    </row>
    <row r="62" customFormat="false" ht="12.75" hidden="false" customHeight="false" outlineLevel="0" collapsed="false">
      <c r="A62" s="34" t="n">
        <f aca="false">B62-0.5</f>
        <v>3.25</v>
      </c>
      <c r="B62" s="34" t="n">
        <v>3.75</v>
      </c>
      <c r="C62" s="18" t="n">
        <v>28.1</v>
      </c>
      <c r="D62" s="18" t="n">
        <v>-94.5</v>
      </c>
      <c r="E62" s="18" t="n">
        <v>90</v>
      </c>
      <c r="F62" s="35" t="n">
        <f aca="false">E62*0.5144</f>
        <v>46.296</v>
      </c>
      <c r="G62" s="22" t="e">
        <f aca="false">arclethnm(C61,D61,C62,D62)/6</f>
        <v>#NAME?</v>
      </c>
      <c r="H62" s="36" t="e">
        <f aca="false">G62*0.5144</f>
        <v>#NAME?</v>
      </c>
      <c r="I62" s="18" t="n">
        <v>974</v>
      </c>
      <c r="J62" s="18" t="n">
        <v>0</v>
      </c>
      <c r="K62" s="19" t="n">
        <f aca="false">B62-4.25</f>
        <v>-0.5</v>
      </c>
    </row>
    <row r="63" customFormat="false" ht="12.75" hidden="false" customHeight="false" outlineLevel="0" collapsed="false">
      <c r="A63" s="34" t="n">
        <f aca="false">B63-0.5</f>
        <v>3.5</v>
      </c>
      <c r="B63" s="34" t="n">
        <v>4</v>
      </c>
      <c r="C63" s="18" t="n">
        <v>28.4</v>
      </c>
      <c r="D63" s="18" t="n">
        <v>-94.8</v>
      </c>
      <c r="E63" s="18" t="n">
        <v>95</v>
      </c>
      <c r="F63" s="35" t="n">
        <f aca="false">E63*0.5144</f>
        <v>48.868</v>
      </c>
      <c r="G63" s="22" t="e">
        <f aca="false">arclethnm(C62,D62,C63,D63)/6</f>
        <v>#NAME?</v>
      </c>
      <c r="H63" s="36" t="e">
        <f aca="false">G63*0.5144</f>
        <v>#NAME?</v>
      </c>
      <c r="I63" s="18" t="n">
        <v>969</v>
      </c>
      <c r="J63" s="18" t="n">
        <v>0</v>
      </c>
      <c r="K63" s="19" t="n">
        <f aca="false">B63-4.25</f>
        <v>-0.25</v>
      </c>
    </row>
    <row r="64" customFormat="false" ht="12.75" hidden="false" customHeight="false" outlineLevel="0" collapsed="false">
      <c r="A64" s="34" t="n">
        <f aca="false">B64-0.5</f>
        <v>3.75</v>
      </c>
      <c r="B64" s="34" t="n">
        <v>4.25</v>
      </c>
      <c r="C64" s="18" t="n">
        <v>28.9</v>
      </c>
      <c r="D64" s="18" t="n">
        <v>-95</v>
      </c>
      <c r="E64" s="18" t="n">
        <v>100</v>
      </c>
      <c r="F64" s="35" t="n">
        <f aca="false">E64*0.5144</f>
        <v>51.44</v>
      </c>
      <c r="G64" s="22" t="e">
        <f aca="false">arclethnm(C63,D63,C64,D64)/6</f>
        <v>#NAME?</v>
      </c>
      <c r="H64" s="36" t="e">
        <f aca="false">G64*0.5144</f>
        <v>#NAME?</v>
      </c>
      <c r="I64" s="23" t="n">
        <v>963</v>
      </c>
      <c r="J64" s="18" t="n">
        <v>0</v>
      </c>
      <c r="K64" s="19" t="n">
        <v>0</v>
      </c>
    </row>
    <row r="65" customFormat="false" ht="12.75" hidden="false" customHeight="false" outlineLevel="0" collapsed="false">
      <c r="A65" s="34" t="n">
        <f aca="false">B65-0.5</f>
        <v>3.79</v>
      </c>
      <c r="B65" s="34" t="n">
        <v>4.29</v>
      </c>
      <c r="C65" s="18" t="n">
        <v>29.7</v>
      </c>
      <c r="D65" s="18" t="n">
        <v>-95.5</v>
      </c>
      <c r="E65" s="18" t="n">
        <v>80</v>
      </c>
      <c r="F65" s="35" t="n">
        <f aca="false">E65*0.5144</f>
        <v>41.152</v>
      </c>
      <c r="G65" s="22" t="e">
        <f aca="false">arclethnm(C64,D64,C65,D65)/6</f>
        <v>#NAME?</v>
      </c>
      <c r="H65" s="36" t="e">
        <f aca="false">G65*0.5144</f>
        <v>#NAME?</v>
      </c>
      <c r="I65" s="18" t="n">
        <v>965</v>
      </c>
      <c r="J65" s="18" t="n">
        <v>-999</v>
      </c>
      <c r="K65" s="19" t="n">
        <f aca="false">B65-4.25</f>
        <v>0.04</v>
      </c>
    </row>
    <row r="66" customFormat="false" ht="12.75" hidden="false" customHeight="false" outlineLevel="0" collapsed="false">
      <c r="A66" s="34" t="n">
        <f aca="false">B66-0.5</f>
        <v>4</v>
      </c>
      <c r="B66" s="34" t="n">
        <v>4.5</v>
      </c>
      <c r="C66" s="18" t="n">
        <v>30.5</v>
      </c>
      <c r="D66" s="18" t="n">
        <v>-96</v>
      </c>
      <c r="E66" s="18" t="n">
        <v>40</v>
      </c>
      <c r="F66" s="35" t="n">
        <f aca="false">E66*0.5144</f>
        <v>20.576</v>
      </c>
      <c r="G66" s="22" t="e">
        <f aca="false">arclethnm(C65,D65,C66,D66)/6</f>
        <v>#NAME?</v>
      </c>
      <c r="H66" s="36" t="e">
        <f aca="false">G66*0.5144</f>
        <v>#NAME?</v>
      </c>
      <c r="I66" s="18" t="n">
        <v>990</v>
      </c>
      <c r="J66" s="18" t="n">
        <v>0</v>
      </c>
      <c r="K66" s="19" t="n">
        <f aca="false">B66-4.25</f>
        <v>0.25</v>
      </c>
    </row>
    <row r="67" customFormat="false" ht="12.75" hidden="false" customHeight="false" outlineLevel="0" collapsed="false">
      <c r="A67" s="34" t="n">
        <f aca="false">B67-0.5</f>
        <v>4.25</v>
      </c>
      <c r="B67" s="34" t="n">
        <v>4.75</v>
      </c>
      <c r="C67" s="18" t="n">
        <v>31.5</v>
      </c>
      <c r="D67" s="18" t="n">
        <v>-96.7</v>
      </c>
      <c r="E67" s="18" t="n">
        <v>35</v>
      </c>
      <c r="F67" s="35" t="n">
        <f aca="false">E67*0.5144</f>
        <v>18.004</v>
      </c>
      <c r="G67" s="22" t="e">
        <f aca="false">arclethnm(C66,D66,C67,D67)/6</f>
        <v>#NAME?</v>
      </c>
      <c r="H67" s="36" t="e">
        <f aca="false">G67*0.5144</f>
        <v>#NAME?</v>
      </c>
      <c r="I67" s="18" t="n">
        <v>998</v>
      </c>
      <c r="J67" s="18" t="n">
        <v>0</v>
      </c>
      <c r="K67" s="19" t="n">
        <f aca="false">B67-4.25</f>
        <v>0.5</v>
      </c>
    </row>
    <row r="68" customFormat="false" ht="12.75" hidden="false" customHeight="false" outlineLevel="0" collapsed="false">
      <c r="A68" s="34" t="n">
        <f aca="false">B68-0.5</f>
        <v>4.5</v>
      </c>
      <c r="B68" s="34" t="n">
        <v>5</v>
      </c>
      <c r="C68" s="18" t="n">
        <v>32.4</v>
      </c>
      <c r="D68" s="18" t="n">
        <v>-97.4</v>
      </c>
      <c r="E68" s="18" t="n">
        <v>30</v>
      </c>
      <c r="F68" s="35" t="n">
        <f aca="false">E68*0.5144</f>
        <v>15.432</v>
      </c>
      <c r="G68" s="22" t="e">
        <f aca="false">arclethnm(C67,D67,C68,D68)/6</f>
        <v>#NAME?</v>
      </c>
      <c r="H68" s="36" t="e">
        <f aca="false">G68*0.5144</f>
        <v>#NAME?</v>
      </c>
      <c r="I68" s="18" t="n">
        <v>1003</v>
      </c>
      <c r="J68" s="18" t="n">
        <v>0</v>
      </c>
      <c r="K68" s="19" t="n">
        <f aca="false">B68-4.25</f>
        <v>0.75</v>
      </c>
    </row>
    <row r="69" customFormat="false" ht="12.75" hidden="false" customHeight="false" outlineLevel="0" collapsed="false">
      <c r="A69" s="34" t="n">
        <f aca="false">B69-0.5</f>
        <v>4.75</v>
      </c>
      <c r="B69" s="34" t="n">
        <v>5.25</v>
      </c>
      <c r="C69" s="18" t="n">
        <v>33.3</v>
      </c>
      <c r="D69" s="18" t="n">
        <v>-98</v>
      </c>
      <c r="E69" s="18" t="n">
        <v>25</v>
      </c>
      <c r="F69" s="35" t="n">
        <f aca="false">E69*0.5144</f>
        <v>12.86</v>
      </c>
      <c r="G69" s="22" t="e">
        <f aca="false">arclethnm(C68,D68,C69,D69)/6</f>
        <v>#NAME?</v>
      </c>
      <c r="H69" s="36" t="e">
        <f aca="false">G69*0.5144</f>
        <v>#NAME?</v>
      </c>
      <c r="I69" s="18" t="n">
        <v>1006</v>
      </c>
      <c r="J69" s="18" t="n">
        <v>0</v>
      </c>
      <c r="K69" s="19" t="n">
        <f aca="false">B69-4.25</f>
        <v>1</v>
      </c>
    </row>
    <row r="70" customFormat="false" ht="12.75" hidden="false" customHeight="false" outlineLevel="0" collapsed="false">
      <c r="A70" s="34" t="n">
        <f aca="false">B70-0.5</f>
        <v>5</v>
      </c>
      <c r="B70" s="34" t="n">
        <v>5.5</v>
      </c>
      <c r="C70" s="18" t="n">
        <v>34.4</v>
      </c>
      <c r="D70" s="18" t="n">
        <v>-98.5</v>
      </c>
      <c r="E70" s="18" t="n">
        <v>25</v>
      </c>
      <c r="F70" s="35" t="n">
        <f aca="false">E70*0.5144</f>
        <v>12.86</v>
      </c>
      <c r="G70" s="22" t="e">
        <f aca="false">arclethnm(C69,D69,C70,D70)/6</f>
        <v>#NAME?</v>
      </c>
      <c r="H70" s="36" t="e">
        <f aca="false">G70*0.5144</f>
        <v>#NAME?</v>
      </c>
      <c r="I70" s="18" t="n">
        <v>1009</v>
      </c>
      <c r="J70" s="18" t="n">
        <v>0</v>
      </c>
      <c r="K70" s="19" t="n">
        <f aca="false">B70-4.25</f>
        <v>1.25</v>
      </c>
    </row>
    <row r="71" customFormat="false" ht="12.75" hidden="false" customHeight="false" outlineLevel="0" collapsed="false">
      <c r="A71" s="34" t="n">
        <f aca="false">B71-0.5</f>
        <v>5.25</v>
      </c>
      <c r="B71" s="34" t="n">
        <v>5.75</v>
      </c>
      <c r="C71" s="18" t="n">
        <v>35.4</v>
      </c>
      <c r="D71" s="18" t="n">
        <v>-99</v>
      </c>
      <c r="E71" s="18" t="n">
        <v>20</v>
      </c>
      <c r="F71" s="35" t="n">
        <f aca="false">E71*0.5144</f>
        <v>10.288</v>
      </c>
      <c r="G71" s="22" t="e">
        <f aca="false">arclethnm(C70,D70,C71,D71)/6</f>
        <v>#NAME?</v>
      </c>
      <c r="H71" s="36" t="e">
        <f aca="false">G71*0.5144</f>
        <v>#NAME?</v>
      </c>
      <c r="I71" s="18" t="n">
        <v>1010</v>
      </c>
      <c r="J71" s="18" t="n">
        <v>0</v>
      </c>
      <c r="K71" s="19" t="n">
        <f aca="false">B71-4.25</f>
        <v>1.5</v>
      </c>
    </row>
    <row r="72" customFormat="false" ht="12.75" hidden="false" customHeight="false" outlineLevel="0" collapsed="false">
      <c r="A72" s="34" t="n">
        <f aca="false">B72-0.5</f>
        <v>5.5</v>
      </c>
      <c r="B72" s="34" t="n">
        <v>6</v>
      </c>
      <c r="C72" s="18" t="n">
        <v>36.5</v>
      </c>
      <c r="D72" s="18" t="n">
        <v>-99.4</v>
      </c>
      <c r="E72" s="18" t="n">
        <v>20</v>
      </c>
      <c r="F72" s="35" t="n">
        <f aca="false">E72*0.5144</f>
        <v>10.288</v>
      </c>
      <c r="G72" s="22" t="e">
        <f aca="false">arclethnm(C71,D71,C72,D72)/6</f>
        <v>#NAME?</v>
      </c>
      <c r="H72" s="36" t="e">
        <f aca="false">G72*0.5144</f>
        <v>#NAME?</v>
      </c>
      <c r="I72" s="18" t="n">
        <v>1011</v>
      </c>
      <c r="J72" s="18" t="n">
        <v>0</v>
      </c>
      <c r="K72" s="19" t="n">
        <f aca="false">B72-4.25</f>
        <v>1.75</v>
      </c>
    </row>
    <row r="73" customFormat="false" ht="12.75" hidden="false" customHeight="false" outlineLevel="0" collapsed="false">
      <c r="A73" s="34" t="n">
        <f aca="false">B73-0.5</f>
        <v>5.75</v>
      </c>
      <c r="B73" s="34" t="n">
        <v>6.25</v>
      </c>
      <c r="C73" s="18" t="n">
        <v>37.6</v>
      </c>
      <c r="D73" s="18" t="n">
        <v>-99.2</v>
      </c>
      <c r="E73" s="18" t="n">
        <v>20</v>
      </c>
      <c r="F73" s="35" t="n">
        <f aca="false">E73*0.5144</f>
        <v>10.288</v>
      </c>
      <c r="G73" s="22" t="e">
        <f aca="false">arclethnm(C72,D72,C73,D73)/6</f>
        <v>#NAME?</v>
      </c>
      <c r="H73" s="36" t="e">
        <f aca="false">G73*0.5144</f>
        <v>#NAME?</v>
      </c>
      <c r="I73" s="18" t="n">
        <v>1011</v>
      </c>
      <c r="J73" s="18" t="n">
        <v>0</v>
      </c>
      <c r="K73" s="19" t="n">
        <f aca="false">B73-4.25</f>
        <v>2</v>
      </c>
    </row>
    <row r="74" customFormat="false" ht="12.75" hidden="false" customHeight="false" outlineLevel="0" collapsed="false">
      <c r="A74" s="34" t="n">
        <f aca="false">B74-0.5</f>
        <v>6</v>
      </c>
      <c r="B74" s="34" t="n">
        <v>6.5</v>
      </c>
      <c r="C74" s="18" t="n">
        <v>38.9</v>
      </c>
      <c r="D74" s="18" t="n">
        <v>-99</v>
      </c>
      <c r="E74" s="18" t="n">
        <v>20</v>
      </c>
      <c r="F74" s="35" t="n">
        <f aca="false">E74*0.5144</f>
        <v>10.288</v>
      </c>
      <c r="G74" s="22" t="e">
        <f aca="false">arclethnm(C73,D73,C74,D74)/6</f>
        <v>#NAME?</v>
      </c>
      <c r="H74" s="36" t="e">
        <f aca="false">G74*0.5144</f>
        <v>#NAME?</v>
      </c>
      <c r="I74" s="18" t="n">
        <v>1011</v>
      </c>
      <c r="J74" s="18" t="n">
        <v>0</v>
      </c>
      <c r="K74" s="19" t="n">
        <f aca="false">B74-4.25</f>
        <v>2.25</v>
      </c>
    </row>
    <row r="75" customFormat="false" ht="12.75" hidden="false" customHeight="false" outlineLevel="0" collapsed="false">
      <c r="A75" s="34" t="n">
        <f aca="false">B75-0.5</f>
        <v>6.25</v>
      </c>
      <c r="B75" s="34" t="n">
        <v>6.75</v>
      </c>
      <c r="C75" s="18" t="n">
        <v>40</v>
      </c>
      <c r="D75" s="18" t="n">
        <v>-98</v>
      </c>
      <c r="E75" s="18" t="n">
        <v>20</v>
      </c>
      <c r="F75" s="35" t="n">
        <f aca="false">E75*0.5144</f>
        <v>10.288</v>
      </c>
      <c r="G75" s="22" t="e">
        <f aca="false">arclethnm(C74,D74,C75,D75)/6</f>
        <v>#NAME?</v>
      </c>
      <c r="H75" s="36" t="e">
        <f aca="false">G75*0.5144</f>
        <v>#NAME?</v>
      </c>
      <c r="I75" s="18" t="n">
        <v>1010</v>
      </c>
      <c r="J75" s="18" t="n">
        <v>0</v>
      </c>
      <c r="K75" s="19" t="n">
        <f aca="false">B75-4.25</f>
        <v>2.5</v>
      </c>
    </row>
    <row r="76" customFormat="false" ht="12.75" hidden="false" customHeight="false" outlineLevel="0" collapsed="false">
      <c r="A76" s="34" t="n">
        <f aca="false">B76-0.5</f>
        <v>6.5</v>
      </c>
      <c r="B76" s="34" t="n">
        <v>7</v>
      </c>
      <c r="C76" s="18" t="n">
        <v>41.2</v>
      </c>
      <c r="D76" s="18" t="n">
        <v>-97</v>
      </c>
      <c r="E76" s="18" t="n">
        <v>20</v>
      </c>
      <c r="F76" s="35" t="n">
        <f aca="false">E76*0.5144</f>
        <v>10.288</v>
      </c>
      <c r="G76" s="22" t="e">
        <f aca="false">arclethnm(C75,D75,C76,D76)/6</f>
        <v>#NAME?</v>
      </c>
      <c r="H76" s="36" t="e">
        <f aca="false">G76*0.5144</f>
        <v>#NAME?</v>
      </c>
      <c r="I76" s="18" t="n">
        <v>1010</v>
      </c>
      <c r="J76" s="18" t="n">
        <v>0</v>
      </c>
      <c r="K76" s="19" t="n">
        <f aca="false">B76-4.25</f>
        <v>2.75</v>
      </c>
    </row>
    <row r="77" customFormat="false" ht="12.75" hidden="false" customHeight="false" outlineLevel="0" collapsed="false">
      <c r="A77" s="34"/>
      <c r="B77" s="34"/>
      <c r="C77" s="18"/>
      <c r="D77" s="18"/>
      <c r="E77" s="0"/>
      <c r="F77" s="0"/>
      <c r="G77" s="22"/>
      <c r="H77" s="36"/>
      <c r="I77" s="0"/>
      <c r="J77" s="18"/>
      <c r="K77" s="0"/>
    </row>
    <row r="78" customFormat="false" ht="12.75" hidden="false" customHeight="false" outlineLevel="0" collapsed="false">
      <c r="A78" s="0"/>
      <c r="B78" s="34"/>
      <c r="C78" s="34"/>
      <c r="D78" s="34"/>
      <c r="E78" s="0"/>
      <c r="F78" s="0"/>
      <c r="G78" s="22"/>
      <c r="H78" s="36"/>
      <c r="I78" s="0"/>
      <c r="J78" s="0"/>
      <c r="K78" s="0"/>
    </row>
    <row r="79" customFormat="false" ht="12.75" hidden="false" customHeight="false" outlineLevel="0" collapsed="false">
      <c r="A79" s="0"/>
      <c r="B79" s="37" t="s">
        <v>155</v>
      </c>
      <c r="C79" s="20" t="s">
        <v>115</v>
      </c>
      <c r="D79" s="37"/>
      <c r="E79" s="0"/>
      <c r="F79" s="0"/>
      <c r="G79" s="22"/>
      <c r="H79" s="36"/>
      <c r="I79" s="0"/>
      <c r="J79" s="0"/>
      <c r="K79" s="0"/>
    </row>
    <row r="80" customFormat="false" ht="12.75" hidden="false" customHeight="false" outlineLevel="0" collapsed="false">
      <c r="A80" s="19" t="n">
        <v>1</v>
      </c>
      <c r="B80" s="34" t="n">
        <v>1.75</v>
      </c>
      <c r="C80" s="18" t="n">
        <v>25.6</v>
      </c>
      <c r="D80" s="18" t="n">
        <v>-87.2</v>
      </c>
      <c r="E80" s="18" t="n">
        <v>25</v>
      </c>
      <c r="F80" s="35" t="n">
        <f aca="false">E80*0.5144</f>
        <v>12.86</v>
      </c>
      <c r="G80" s="22"/>
      <c r="H80" s="36"/>
      <c r="I80" s="18" t="n">
        <v>1014</v>
      </c>
      <c r="J80" s="18" t="n">
        <v>0</v>
      </c>
      <c r="K80" s="19" t="n">
        <f aca="false">B80-4.42</f>
        <v>-2.67</v>
      </c>
    </row>
    <row r="81" customFormat="false" ht="12.75" hidden="false" customHeight="false" outlineLevel="0" collapsed="false">
      <c r="A81" s="19" t="n">
        <f aca="false">B81-0.75</f>
        <v>1.25</v>
      </c>
      <c r="B81" s="34" t="n">
        <v>2</v>
      </c>
      <c r="C81" s="18" t="n">
        <v>25.7</v>
      </c>
      <c r="D81" s="18" t="n">
        <v>-87.8</v>
      </c>
      <c r="E81" s="18" t="n">
        <v>25</v>
      </c>
      <c r="F81" s="35" t="n">
        <f aca="false">E81*0.5144</f>
        <v>12.86</v>
      </c>
      <c r="G81" s="22" t="e">
        <f aca="false">arclethnm(C80,D80,C81,D81)/6</f>
        <v>#NAME?</v>
      </c>
      <c r="H81" s="36" t="e">
        <f aca="false">G81*0.5144</f>
        <v>#NAME?</v>
      </c>
      <c r="I81" s="18" t="n">
        <v>1013</v>
      </c>
      <c r="J81" s="18" t="n">
        <v>0</v>
      </c>
      <c r="K81" s="19" t="n">
        <f aca="false">B81-4.42</f>
        <v>-2.42</v>
      </c>
    </row>
    <row r="82" customFormat="false" ht="12.75" hidden="false" customHeight="false" outlineLevel="0" collapsed="false">
      <c r="A82" s="19" t="n">
        <f aca="false">B82-0.75</f>
        <v>1.5</v>
      </c>
      <c r="B82" s="34" t="n">
        <v>2.25</v>
      </c>
      <c r="C82" s="18" t="n">
        <v>26</v>
      </c>
      <c r="D82" s="18" t="n">
        <v>-88.4</v>
      </c>
      <c r="E82" s="18" t="n">
        <v>25</v>
      </c>
      <c r="F82" s="35" t="n">
        <f aca="false">E82*0.5144</f>
        <v>12.86</v>
      </c>
      <c r="G82" s="22" t="e">
        <f aca="false">arclethnm(C81,D81,C82,D82)/6</f>
        <v>#NAME?</v>
      </c>
      <c r="H82" s="36" t="e">
        <f aca="false">G82*0.5144</f>
        <v>#NAME?</v>
      </c>
      <c r="I82" s="18" t="n">
        <v>1014</v>
      </c>
      <c r="J82" s="18" t="n">
        <v>0</v>
      </c>
      <c r="K82" s="19" t="n">
        <f aca="false">B82-4.42</f>
        <v>-2.17</v>
      </c>
    </row>
    <row r="83" customFormat="false" ht="12.75" hidden="false" customHeight="false" outlineLevel="0" collapsed="false">
      <c r="A83" s="19" t="n">
        <f aca="false">B83-0.75</f>
        <v>1.75</v>
      </c>
      <c r="B83" s="34" t="n">
        <v>2.5</v>
      </c>
      <c r="C83" s="18" t="n">
        <v>26.4</v>
      </c>
      <c r="D83" s="18" t="n">
        <v>-88.9</v>
      </c>
      <c r="E83" s="18" t="n">
        <v>30</v>
      </c>
      <c r="F83" s="35" t="n">
        <f aca="false">E83*0.5144</f>
        <v>15.432</v>
      </c>
      <c r="G83" s="22" t="e">
        <f aca="false">arclethnm(C82,D82,C83,D83)/6</f>
        <v>#NAME?</v>
      </c>
      <c r="H83" s="36" t="e">
        <f aca="false">G83*0.5144</f>
        <v>#NAME?</v>
      </c>
      <c r="I83" s="18" t="n">
        <v>1011</v>
      </c>
      <c r="J83" s="18" t="n">
        <v>0</v>
      </c>
      <c r="K83" s="19" t="n">
        <f aca="false">B83-4.42</f>
        <v>-1.92</v>
      </c>
    </row>
    <row r="84" customFormat="false" ht="12.75" hidden="false" customHeight="false" outlineLevel="0" collapsed="false">
      <c r="A84" s="19" t="n">
        <f aca="false">B84-0.75</f>
        <v>2</v>
      </c>
      <c r="B84" s="34" t="n">
        <v>2.75</v>
      </c>
      <c r="C84" s="18" t="n">
        <v>26.6</v>
      </c>
      <c r="D84" s="18" t="n">
        <v>-89.5</v>
      </c>
      <c r="E84" s="18" t="n">
        <v>40</v>
      </c>
      <c r="F84" s="35" t="n">
        <f aca="false">E84*0.5144</f>
        <v>20.576</v>
      </c>
      <c r="G84" s="22" t="e">
        <f aca="false">arclethnm(C83,D83,C84,D84)/6</f>
        <v>#NAME?</v>
      </c>
      <c r="H84" s="36" t="e">
        <f aca="false">G84*0.5144</f>
        <v>#NAME?</v>
      </c>
      <c r="I84" s="18" t="n">
        <v>1006</v>
      </c>
      <c r="J84" s="18" t="n">
        <v>0</v>
      </c>
      <c r="K84" s="19" t="n">
        <f aca="false">B84-4.42</f>
        <v>-1.67</v>
      </c>
    </row>
    <row r="85" customFormat="false" ht="12.75" hidden="false" customHeight="false" outlineLevel="0" collapsed="false">
      <c r="A85" s="19" t="n">
        <f aca="false">B85-0.75</f>
        <v>2.25</v>
      </c>
      <c r="B85" s="34" t="n">
        <v>3</v>
      </c>
      <c r="C85" s="18" t="n">
        <v>26.7</v>
      </c>
      <c r="D85" s="18" t="n">
        <v>-90.3</v>
      </c>
      <c r="E85" s="18" t="n">
        <v>45</v>
      </c>
      <c r="F85" s="35" t="n">
        <f aca="false">E85*0.5144</f>
        <v>23.148</v>
      </c>
      <c r="G85" s="22" t="e">
        <f aca="false">arclethnm(C84,D84,C85,D85)/6</f>
        <v>#NAME?</v>
      </c>
      <c r="H85" s="36" t="e">
        <f aca="false">G85*0.5144</f>
        <v>#NAME?</v>
      </c>
      <c r="I85" s="18" t="n">
        <v>1001</v>
      </c>
      <c r="J85" s="18" t="n">
        <v>0</v>
      </c>
      <c r="K85" s="19" t="n">
        <f aca="false">B85-4.42</f>
        <v>-1.42</v>
      </c>
    </row>
    <row r="86" customFormat="false" ht="12.75" hidden="false" customHeight="false" outlineLevel="0" collapsed="false">
      <c r="A86" s="19" t="n">
        <f aca="false">B86-0.75</f>
        <v>2.5</v>
      </c>
      <c r="B86" s="34" t="n">
        <v>3.25</v>
      </c>
      <c r="C86" s="18" t="n">
        <v>26.8</v>
      </c>
      <c r="D86" s="18" t="n">
        <v>-91</v>
      </c>
      <c r="E86" s="18" t="n">
        <v>50</v>
      </c>
      <c r="F86" s="35" t="n">
        <f aca="false">E86*0.5144</f>
        <v>25.72</v>
      </c>
      <c r="G86" s="22" t="e">
        <f aca="false">arclethnm(C85,D85,C86,D86)/6</f>
        <v>#NAME?</v>
      </c>
      <c r="H86" s="36" t="e">
        <f aca="false">G86*0.5144</f>
        <v>#NAME?</v>
      </c>
      <c r="I86" s="18" t="n">
        <v>1002</v>
      </c>
      <c r="J86" s="18" t="n">
        <v>0</v>
      </c>
      <c r="K86" s="19" t="n">
        <f aca="false">B86-4.42</f>
        <v>-1.17</v>
      </c>
    </row>
    <row r="87" customFormat="false" ht="12.75" hidden="false" customHeight="false" outlineLevel="0" collapsed="false">
      <c r="A87" s="19" t="n">
        <f aca="false">B87-0.75</f>
        <v>2.75</v>
      </c>
      <c r="B87" s="34" t="n">
        <v>3.5</v>
      </c>
      <c r="C87" s="18" t="n">
        <v>27.2</v>
      </c>
      <c r="D87" s="18" t="n">
        <v>-91.7</v>
      </c>
      <c r="E87" s="18" t="n">
        <v>55</v>
      </c>
      <c r="F87" s="35" t="n">
        <f aca="false">E87*0.5144</f>
        <v>28.292</v>
      </c>
      <c r="G87" s="22" t="e">
        <f aca="false">arclethnm(C86,D86,C87,D87)/6</f>
        <v>#NAME?</v>
      </c>
      <c r="H87" s="36" t="e">
        <f aca="false">G87*0.5144</f>
        <v>#NAME?</v>
      </c>
      <c r="I87" s="18" t="n">
        <v>997</v>
      </c>
      <c r="J87" s="18" t="n">
        <v>0</v>
      </c>
      <c r="K87" s="19" t="n">
        <f aca="false">B87-4.42</f>
        <v>-0.92</v>
      </c>
    </row>
    <row r="88" customFormat="false" ht="12.75" hidden="false" customHeight="false" outlineLevel="0" collapsed="false">
      <c r="A88" s="19" t="n">
        <f aca="false">B88-0.75</f>
        <v>3</v>
      </c>
      <c r="B88" s="34" t="n">
        <v>3.75</v>
      </c>
      <c r="C88" s="18" t="n">
        <v>27.7</v>
      </c>
      <c r="D88" s="18" t="n">
        <v>-92.2</v>
      </c>
      <c r="E88" s="18" t="n">
        <v>65</v>
      </c>
      <c r="F88" s="35" t="n">
        <f aca="false">E88*0.5144</f>
        <v>33.436</v>
      </c>
      <c r="G88" s="22" t="e">
        <f aca="false">arclethnm(C87,D87,C88,D88)/6</f>
        <v>#NAME?</v>
      </c>
      <c r="H88" s="36" t="e">
        <f aca="false">G88*0.5144</f>
        <v>#NAME?</v>
      </c>
      <c r="I88" s="18" t="n">
        <v>1001</v>
      </c>
      <c r="J88" s="18" t="n">
        <v>0</v>
      </c>
      <c r="K88" s="19" t="n">
        <f aca="false">B88-4.42</f>
        <v>-0.67</v>
      </c>
    </row>
    <row r="89" customFormat="false" ht="12.75" hidden="false" customHeight="false" outlineLevel="0" collapsed="false">
      <c r="A89" s="19" t="n">
        <f aca="false">B89-0.75</f>
        <v>3.25</v>
      </c>
      <c r="B89" s="34" t="n">
        <v>4</v>
      </c>
      <c r="C89" s="18" t="n">
        <v>28.2</v>
      </c>
      <c r="D89" s="18" t="n">
        <v>-92.9</v>
      </c>
      <c r="E89" s="18" t="n">
        <v>70</v>
      </c>
      <c r="F89" s="35" t="n">
        <f aca="false">E89*0.5144</f>
        <v>36.008</v>
      </c>
      <c r="G89" s="22" t="e">
        <f aca="false">arclethnm(C88,D88,C89,D89)/6</f>
        <v>#NAME?</v>
      </c>
      <c r="H89" s="36" t="e">
        <f aca="false">G89*0.5144</f>
        <v>#NAME?</v>
      </c>
      <c r="I89" s="18" t="n">
        <v>999</v>
      </c>
      <c r="J89" s="18" t="n">
        <v>0</v>
      </c>
      <c r="K89" s="19" t="n">
        <f aca="false">B89-4.42</f>
        <v>-0.42</v>
      </c>
    </row>
    <row r="90" customFormat="false" ht="12.75" hidden="false" customHeight="false" outlineLevel="0" collapsed="false">
      <c r="A90" s="19" t="n">
        <f aca="false">B90-0.75</f>
        <v>3.5</v>
      </c>
      <c r="B90" s="34" t="n">
        <v>4.25</v>
      </c>
      <c r="C90" s="18" t="n">
        <v>29</v>
      </c>
      <c r="D90" s="18" t="n">
        <v>-93.7</v>
      </c>
      <c r="E90" s="18" t="n">
        <v>75</v>
      </c>
      <c r="F90" s="35" t="n">
        <f aca="false">E90*0.5144</f>
        <v>38.58</v>
      </c>
      <c r="G90" s="22" t="e">
        <f aca="false">arclethnm(C89,D89,C90,D90)/6</f>
        <v>#NAME?</v>
      </c>
      <c r="H90" s="36" t="e">
        <f aca="false">G90*0.5144</f>
        <v>#NAME?</v>
      </c>
      <c r="I90" s="18" t="n">
        <v>995</v>
      </c>
      <c r="J90" s="18" t="n">
        <v>0</v>
      </c>
      <c r="K90" s="19" t="n">
        <f aca="false">B90-4.42</f>
        <v>-0.17</v>
      </c>
    </row>
    <row r="91" customFormat="false" ht="12.75" hidden="false" customHeight="false" outlineLevel="0" collapsed="false">
      <c r="A91" s="19" t="n">
        <f aca="false">B91-0.75</f>
        <v>3.67</v>
      </c>
      <c r="B91" s="34" t="n">
        <v>4.42</v>
      </c>
      <c r="C91" s="18" t="n">
        <v>29.9</v>
      </c>
      <c r="D91" s="18" t="n">
        <v>-94.3</v>
      </c>
      <c r="E91" s="18" t="n">
        <v>65</v>
      </c>
      <c r="F91" s="35" t="n">
        <f aca="false">E91*0.5144</f>
        <v>33.436</v>
      </c>
      <c r="G91" s="22" t="e">
        <f aca="false">arclethnm(C90,D90,C91,D91)/6</f>
        <v>#NAME?</v>
      </c>
      <c r="H91" s="36" t="e">
        <f aca="false">G91*0.5144</f>
        <v>#NAME?</v>
      </c>
      <c r="I91" s="23" t="n">
        <v>992</v>
      </c>
      <c r="J91" s="18" t="n">
        <v>-999</v>
      </c>
      <c r="K91" s="19" t="n">
        <v>0</v>
      </c>
    </row>
    <row r="92" customFormat="false" ht="12.75" hidden="false" customHeight="false" outlineLevel="0" collapsed="false">
      <c r="A92" s="19" t="n">
        <f aca="false">B92-0.75</f>
        <v>3.75</v>
      </c>
      <c r="B92" s="34" t="n">
        <v>4.5</v>
      </c>
      <c r="C92" s="18" t="n">
        <v>30.9</v>
      </c>
      <c r="D92" s="18" t="n">
        <v>-94.7</v>
      </c>
      <c r="E92" s="18" t="n">
        <v>35</v>
      </c>
      <c r="F92" s="35" t="n">
        <f aca="false">E92*0.5144</f>
        <v>18.004</v>
      </c>
      <c r="G92" s="22" t="e">
        <f aca="false">arclethnm(C91,D91,C92,D92)/6</f>
        <v>#NAME?</v>
      </c>
      <c r="H92" s="36" t="e">
        <f aca="false">G92*0.5144</f>
        <v>#NAME?</v>
      </c>
      <c r="I92" s="18" t="n">
        <v>1000</v>
      </c>
      <c r="J92" s="18" t="n">
        <v>0</v>
      </c>
      <c r="K92" s="19" t="n">
        <f aca="false">B92-4.42</f>
        <v>0.0800000000000001</v>
      </c>
    </row>
    <row r="93" customFormat="false" ht="12.75" hidden="false" customHeight="false" outlineLevel="0" collapsed="false">
      <c r="A93" s="19" t="n">
        <f aca="false">B93-0.75</f>
        <v>4</v>
      </c>
      <c r="B93" s="34" t="n">
        <v>4.75</v>
      </c>
      <c r="C93" s="18" t="n">
        <v>31.8</v>
      </c>
      <c r="D93" s="18" t="n">
        <v>-94.7</v>
      </c>
      <c r="E93" s="18" t="n">
        <v>30</v>
      </c>
      <c r="F93" s="35" t="n">
        <f aca="false">E93*0.5144</f>
        <v>15.432</v>
      </c>
      <c r="G93" s="22" t="e">
        <f aca="false">arclethnm(C92,D92,C93,D93)/6</f>
        <v>#NAME?</v>
      </c>
      <c r="H93" s="36" t="e">
        <f aca="false">G93*0.5144</f>
        <v>#NAME?</v>
      </c>
      <c r="I93" s="18" t="n">
        <v>1009</v>
      </c>
      <c r="J93" s="18" t="n">
        <v>0</v>
      </c>
      <c r="K93" s="19" t="n">
        <f aca="false">B93-4.42</f>
        <v>0.33</v>
      </c>
    </row>
    <row r="94" customFormat="false" ht="12.75" hidden="false" customHeight="false" outlineLevel="0" collapsed="false">
      <c r="A94" s="19" t="n">
        <f aca="false">B94-0.75</f>
        <v>4.25</v>
      </c>
      <c r="B94" s="34" t="n">
        <v>5</v>
      </c>
      <c r="C94" s="18" t="n">
        <v>32.8</v>
      </c>
      <c r="D94" s="18" t="n">
        <v>-94.7</v>
      </c>
      <c r="E94" s="18" t="n">
        <v>25</v>
      </c>
      <c r="F94" s="35" t="n">
        <f aca="false">E94*0.5144</f>
        <v>12.86</v>
      </c>
      <c r="G94" s="22" t="e">
        <f aca="false">arclethnm(C93,D93,C94,D94)/6</f>
        <v>#NAME?</v>
      </c>
      <c r="H94" s="36" t="e">
        <f aca="false">G94*0.5144</f>
        <v>#NAME?</v>
      </c>
      <c r="I94" s="18" t="n">
        <v>1015</v>
      </c>
      <c r="J94" s="18" t="n">
        <v>0</v>
      </c>
      <c r="K94" s="19" t="n">
        <f aca="false">B94-4.42</f>
        <v>0.58</v>
      </c>
    </row>
    <row r="95" customFormat="false" ht="12.75" hidden="false" customHeight="false" outlineLevel="0" collapsed="false">
      <c r="A95" s="19" t="n">
        <f aca="false">B95-0.75</f>
        <v>4.5</v>
      </c>
      <c r="B95" s="34" t="n">
        <v>5.25</v>
      </c>
      <c r="C95" s="18" t="n">
        <v>33.9</v>
      </c>
      <c r="D95" s="18" t="n">
        <v>-94.3</v>
      </c>
      <c r="E95" s="18" t="n">
        <v>20</v>
      </c>
      <c r="F95" s="35" t="n">
        <f aca="false">E95*0.5144</f>
        <v>10.288</v>
      </c>
      <c r="G95" s="22" t="e">
        <f aca="false">arclethnm(C94,D94,C95,D95)/6</f>
        <v>#NAME?</v>
      </c>
      <c r="H95" s="36" t="e">
        <f aca="false">G95*0.5144</f>
        <v>#NAME?</v>
      </c>
      <c r="I95" s="18" t="n">
        <v>1016</v>
      </c>
      <c r="J95" s="18" t="n">
        <v>0</v>
      </c>
      <c r="K95" s="19" t="n">
        <f aca="false">B95-4.42</f>
        <v>0.83</v>
      </c>
    </row>
    <row r="96" customFormat="false" ht="12.75" hidden="false" customHeight="false" outlineLevel="0" collapsed="false">
      <c r="A96" s="19" t="n">
        <f aca="false">B96-0.75</f>
        <v>4.75</v>
      </c>
      <c r="B96" s="34" t="n">
        <v>5.5</v>
      </c>
      <c r="C96" s="18" t="n">
        <v>34.8</v>
      </c>
      <c r="D96" s="18" t="n">
        <v>-93.5</v>
      </c>
      <c r="E96" s="18" t="n">
        <v>20</v>
      </c>
      <c r="F96" s="35" t="n">
        <f aca="false">E96*0.5144</f>
        <v>10.288</v>
      </c>
      <c r="G96" s="22" t="e">
        <f aca="false">arclethnm(C95,D95,C96,D96)/6</f>
        <v>#NAME?</v>
      </c>
      <c r="H96" s="36" t="e">
        <f aca="false">G96*0.5144</f>
        <v>#NAME?</v>
      </c>
      <c r="I96" s="18" t="n">
        <v>1016</v>
      </c>
      <c r="J96" s="18" t="n">
        <v>0</v>
      </c>
      <c r="K96" s="19" t="n">
        <f aca="false">B96-4.42</f>
        <v>1.08</v>
      </c>
    </row>
    <row r="97" customFormat="false" ht="12.75" hidden="false" customHeight="false" outlineLevel="0" collapsed="false">
      <c r="A97" s="19" t="n">
        <f aca="false">B97-0.75</f>
        <v>5</v>
      </c>
      <c r="B97" s="34" t="n">
        <v>5.75</v>
      </c>
      <c r="C97" s="18" t="n">
        <v>35.6</v>
      </c>
      <c r="D97" s="18" t="n">
        <v>-92.5</v>
      </c>
      <c r="E97" s="18" t="n">
        <v>15</v>
      </c>
      <c r="F97" s="35" t="n">
        <f aca="false">E97*0.5144</f>
        <v>7.716</v>
      </c>
      <c r="G97" s="22" t="e">
        <f aca="false">arclethnm(C96,D96,C97,D97)/6</f>
        <v>#NAME?</v>
      </c>
      <c r="H97" s="36" t="e">
        <f aca="false">G97*0.5144</f>
        <v>#NAME?</v>
      </c>
      <c r="I97" s="18" t="n">
        <v>1014</v>
      </c>
      <c r="J97" s="18" t="n">
        <v>0</v>
      </c>
      <c r="K97" s="19" t="n">
        <f aca="false">B97-4.42</f>
        <v>1.33</v>
      </c>
    </row>
    <row r="98" customFormat="false" ht="12.75" hidden="false" customHeight="false" outlineLevel="0" collapsed="false">
      <c r="A98" s="19" t="n">
        <f aca="false">B98-0.75</f>
        <v>5.25</v>
      </c>
      <c r="B98" s="34" t="n">
        <v>6</v>
      </c>
      <c r="C98" s="18" t="n">
        <v>36.5</v>
      </c>
      <c r="D98" s="18" t="n">
        <v>-91.3</v>
      </c>
      <c r="E98" s="18" t="n">
        <v>10</v>
      </c>
      <c r="F98" s="35" t="n">
        <f aca="false">E98*0.5144</f>
        <v>5.144</v>
      </c>
      <c r="G98" s="22" t="e">
        <f aca="false">arclethnm(C97,D97,C98,D98)/6</f>
        <v>#NAME?</v>
      </c>
      <c r="H98" s="36" t="e">
        <f aca="false">G98*0.5144</f>
        <v>#NAME?</v>
      </c>
      <c r="I98" s="18" t="n">
        <v>1013</v>
      </c>
      <c r="J98" s="18" t="n">
        <v>0</v>
      </c>
      <c r="K98" s="19" t="n">
        <f aca="false">B98-4.42</f>
        <v>1.58</v>
      </c>
    </row>
    <row r="99" customFormat="false" ht="12.75" hidden="false" customHeight="false" outlineLevel="0" collapsed="false">
      <c r="A99" s="19" t="n">
        <f aca="false">B99-0.75</f>
        <v>5.5</v>
      </c>
      <c r="B99" s="34" t="n">
        <v>6.25</v>
      </c>
      <c r="C99" s="18" t="n">
        <v>37.2</v>
      </c>
      <c r="D99" s="18" t="n">
        <v>-90</v>
      </c>
      <c r="E99" s="18" t="n">
        <v>10</v>
      </c>
      <c r="F99" s="35" t="n">
        <f aca="false">E99*0.5144</f>
        <v>5.144</v>
      </c>
      <c r="G99" s="22" t="e">
        <f aca="false">arclethnm(C98,D98,C99,D99)/6</f>
        <v>#NAME?</v>
      </c>
      <c r="H99" s="36" t="e">
        <f aca="false">G99*0.5144</f>
        <v>#NAME?</v>
      </c>
      <c r="I99" s="18" t="n">
        <v>1012</v>
      </c>
      <c r="J99" s="18" t="n">
        <v>0</v>
      </c>
      <c r="K99" s="19" t="n">
        <f aca="false">B99-4.42</f>
        <v>1.83</v>
      </c>
    </row>
    <row r="100" customFormat="false" ht="12.75" hidden="false" customHeight="false" outlineLevel="0" collapsed="false">
      <c r="A100" s="0"/>
      <c r="B100" s="34"/>
      <c r="C100" s="18"/>
      <c r="D100" s="18"/>
      <c r="E100" s="0"/>
      <c r="F100" s="0"/>
      <c r="G100" s="22"/>
      <c r="H100" s="36"/>
      <c r="I100" s="0"/>
      <c r="J100" s="18"/>
      <c r="K100" s="0"/>
    </row>
    <row r="101" customFormat="false" ht="12.75" hidden="false" customHeight="false" outlineLevel="0" collapsed="false">
      <c r="A101" s="0"/>
      <c r="B101" s="34"/>
      <c r="C101" s="34"/>
      <c r="D101" s="34"/>
      <c r="E101" s="0"/>
      <c r="F101" s="0"/>
      <c r="G101" s="22"/>
      <c r="H101" s="36"/>
      <c r="I101" s="0"/>
      <c r="J101" s="0"/>
      <c r="K101" s="0"/>
    </row>
    <row r="102" customFormat="false" ht="12.75" hidden="false" customHeight="false" outlineLevel="0" collapsed="false">
      <c r="A102" s="0"/>
      <c r="B102" s="37" t="s">
        <v>156</v>
      </c>
      <c r="C102" s="37"/>
      <c r="D102" s="37"/>
      <c r="E102" s="20" t="s">
        <v>117</v>
      </c>
      <c r="F102" s="0"/>
      <c r="G102" s="22"/>
      <c r="H102" s="36"/>
      <c r="I102" s="0"/>
      <c r="J102" s="0"/>
      <c r="K102" s="0"/>
    </row>
    <row r="103" customFormat="false" ht="12.75" hidden="false" customHeight="false" outlineLevel="0" collapsed="false">
      <c r="A103" s="34" t="n">
        <f aca="false">B103-0.5</f>
        <v>1</v>
      </c>
      <c r="B103" s="34" t="n">
        <v>1.5</v>
      </c>
      <c r="C103" s="18" t="n">
        <v>22.5</v>
      </c>
      <c r="D103" s="18" t="n">
        <v>-90</v>
      </c>
      <c r="E103" s="18" t="n">
        <v>20</v>
      </c>
      <c r="F103" s="35" t="n">
        <f aca="false">E103*0.5144</f>
        <v>10.288</v>
      </c>
      <c r="G103" s="22"/>
      <c r="H103" s="36"/>
      <c r="I103" s="18" t="n">
        <v>1011</v>
      </c>
      <c r="J103" s="18" t="n">
        <v>0</v>
      </c>
      <c r="K103" s="19" t="n">
        <f aca="false">B103-3.5</f>
        <v>-2</v>
      </c>
    </row>
    <row r="104" customFormat="false" ht="12.75" hidden="false" customHeight="false" outlineLevel="0" collapsed="false">
      <c r="A104" s="34" t="n">
        <f aca="false">B104-0.5</f>
        <v>1.25</v>
      </c>
      <c r="B104" s="34" t="n">
        <v>1.75</v>
      </c>
      <c r="C104" s="18" t="n">
        <v>23.5</v>
      </c>
      <c r="D104" s="18" t="n">
        <v>-90.2</v>
      </c>
      <c r="E104" s="18" t="n">
        <v>25</v>
      </c>
      <c r="F104" s="35" t="n">
        <f aca="false">E104*0.5144</f>
        <v>12.86</v>
      </c>
      <c r="G104" s="22" t="e">
        <f aca="false">arclethnm(C103,D103,C104,D104)/6</f>
        <v>#NAME?</v>
      </c>
      <c r="H104" s="36" t="e">
        <f aca="false">G104*0.5144</f>
        <v>#NAME?</v>
      </c>
      <c r="I104" s="18" t="n">
        <v>1010</v>
      </c>
      <c r="J104" s="18" t="n">
        <v>0</v>
      </c>
      <c r="K104" s="19" t="n">
        <f aca="false">B104-3.5</f>
        <v>-1.75</v>
      </c>
    </row>
    <row r="105" customFormat="false" ht="12.75" hidden="false" customHeight="false" outlineLevel="0" collapsed="false">
      <c r="A105" s="34" t="n">
        <f aca="false">B105-0.5</f>
        <v>1.5</v>
      </c>
      <c r="B105" s="34" t="n">
        <v>2</v>
      </c>
      <c r="C105" s="18" t="n">
        <v>24.4</v>
      </c>
      <c r="D105" s="18" t="n">
        <v>-90.5</v>
      </c>
      <c r="E105" s="18" t="n">
        <v>30</v>
      </c>
      <c r="F105" s="35" t="n">
        <f aca="false">E105*0.5144</f>
        <v>15.432</v>
      </c>
      <c r="G105" s="22" t="e">
        <f aca="false">arclethnm(C104,D104,C105,D105)/6</f>
        <v>#NAME?</v>
      </c>
      <c r="H105" s="36" t="e">
        <f aca="false">G105*0.5144</f>
        <v>#NAME?</v>
      </c>
      <c r="I105" s="18" t="n">
        <v>1009</v>
      </c>
      <c r="J105" s="18" t="n">
        <v>0</v>
      </c>
      <c r="K105" s="19" t="n">
        <f aca="false">B105-3.5</f>
        <v>-1.5</v>
      </c>
    </row>
    <row r="106" customFormat="false" ht="12.75" hidden="false" customHeight="false" outlineLevel="0" collapsed="false">
      <c r="A106" s="34" t="n">
        <f aca="false">B106-0.5</f>
        <v>1.75</v>
      </c>
      <c r="B106" s="34" t="n">
        <v>2.25</v>
      </c>
      <c r="C106" s="18" t="n">
        <v>25.4</v>
      </c>
      <c r="D106" s="18" t="n">
        <v>-91</v>
      </c>
      <c r="E106" s="18" t="n">
        <v>35</v>
      </c>
      <c r="F106" s="35" t="n">
        <f aca="false">E106*0.5144</f>
        <v>18.004</v>
      </c>
      <c r="G106" s="22" t="e">
        <f aca="false">arclethnm(C105,D105,C106,D106)/6</f>
        <v>#NAME?</v>
      </c>
      <c r="H106" s="36" t="e">
        <f aca="false">G106*0.5144</f>
        <v>#NAME?</v>
      </c>
      <c r="I106" s="18" t="n">
        <v>1004</v>
      </c>
      <c r="J106" s="18" t="n">
        <v>0</v>
      </c>
      <c r="K106" s="19" t="n">
        <f aca="false">B106-3.5</f>
        <v>-1.25</v>
      </c>
    </row>
    <row r="107" customFormat="false" ht="12.75" hidden="false" customHeight="false" outlineLevel="0" collapsed="false">
      <c r="A107" s="34" t="n">
        <f aca="false">B107-0.5</f>
        <v>2</v>
      </c>
      <c r="B107" s="34" t="n">
        <v>2.5</v>
      </c>
      <c r="C107" s="18" t="n">
        <v>26.2</v>
      </c>
      <c r="D107" s="18" t="n">
        <v>-91.7</v>
      </c>
      <c r="E107" s="18" t="n">
        <v>50</v>
      </c>
      <c r="F107" s="35" t="n">
        <f aca="false">E107*0.5144</f>
        <v>25.72</v>
      </c>
      <c r="G107" s="22" t="e">
        <f aca="false">arclethnm(C106,D106,C107,D107)/6</f>
        <v>#NAME?</v>
      </c>
      <c r="H107" s="36" t="e">
        <f aca="false">G107*0.5144</f>
        <v>#NAME?</v>
      </c>
      <c r="I107" s="18" t="n">
        <v>995</v>
      </c>
      <c r="J107" s="18" t="n">
        <v>0</v>
      </c>
      <c r="K107" s="19" t="n">
        <f aca="false">B107-3.5</f>
        <v>-1</v>
      </c>
    </row>
    <row r="108" customFormat="false" ht="12.75" hidden="false" customHeight="false" outlineLevel="0" collapsed="false">
      <c r="A108" s="34" t="n">
        <f aca="false">B108-0.5</f>
        <v>2.25</v>
      </c>
      <c r="B108" s="34" t="n">
        <v>2.75</v>
      </c>
      <c r="C108" s="18" t="n">
        <v>27.1</v>
      </c>
      <c r="D108" s="18" t="n">
        <v>-92.2</v>
      </c>
      <c r="E108" s="18" t="n">
        <v>55</v>
      </c>
      <c r="F108" s="35" t="n">
        <f aca="false">E108*0.5144</f>
        <v>28.292</v>
      </c>
      <c r="G108" s="22" t="e">
        <f aca="false">arclethnm(C107,D107,C108,D108)/6</f>
        <v>#NAME?</v>
      </c>
      <c r="H108" s="36" t="e">
        <f aca="false">G108*0.5144</f>
        <v>#NAME?</v>
      </c>
      <c r="I108" s="18" t="n">
        <v>993</v>
      </c>
      <c r="J108" s="18" t="n">
        <v>0</v>
      </c>
      <c r="K108" s="19" t="n">
        <f aca="false">B108-3.5</f>
        <v>-0.75</v>
      </c>
    </row>
    <row r="109" customFormat="false" ht="12.75" hidden="false" customHeight="false" outlineLevel="0" collapsed="false">
      <c r="A109" s="34" t="n">
        <f aca="false">B109-0.5</f>
        <v>2.5</v>
      </c>
      <c r="B109" s="34" t="n">
        <v>3</v>
      </c>
      <c r="C109" s="18" t="n">
        <v>27.9</v>
      </c>
      <c r="D109" s="18" t="n">
        <v>-92.8</v>
      </c>
      <c r="E109" s="18" t="n">
        <v>65</v>
      </c>
      <c r="F109" s="35" t="n">
        <f aca="false">E109*0.5144</f>
        <v>33.436</v>
      </c>
      <c r="G109" s="22" t="e">
        <f aca="false">arclethnm(C108,D108,C109,D109)/6</f>
        <v>#NAME?</v>
      </c>
      <c r="H109" s="36" t="e">
        <f aca="false">G109*0.5144</f>
        <v>#NAME?</v>
      </c>
      <c r="I109" s="18" t="n">
        <v>991</v>
      </c>
      <c r="J109" s="18" t="n">
        <v>0</v>
      </c>
      <c r="K109" s="19" t="n">
        <f aca="false">B109-3.5</f>
        <v>-0.5</v>
      </c>
    </row>
    <row r="110" customFormat="false" ht="12.75" hidden="false" customHeight="false" outlineLevel="0" collapsed="false">
      <c r="A110" s="34" t="n">
        <f aca="false">B110-0.5</f>
        <v>2.75</v>
      </c>
      <c r="B110" s="34" t="n">
        <v>3.25</v>
      </c>
      <c r="C110" s="18" t="n">
        <v>28.7</v>
      </c>
      <c r="D110" s="18" t="n">
        <v>-93.5</v>
      </c>
      <c r="E110" s="18" t="n">
        <v>70</v>
      </c>
      <c r="F110" s="35" t="n">
        <f aca="false">E110*0.5144</f>
        <v>36.008</v>
      </c>
      <c r="G110" s="22" t="e">
        <f aca="false">arclethnm(C109,D109,C110,D110)/6</f>
        <v>#NAME?</v>
      </c>
      <c r="H110" s="36" t="e">
        <f aca="false">G110*0.5144</f>
        <v>#NAME?</v>
      </c>
      <c r="I110" s="18" t="n">
        <v>987</v>
      </c>
      <c r="J110" s="18" t="n">
        <v>0</v>
      </c>
      <c r="K110" s="19" t="n">
        <f aca="false">B110-3.5</f>
        <v>-0.25</v>
      </c>
    </row>
    <row r="111" customFormat="false" ht="12.75" hidden="false" customHeight="false" outlineLevel="0" collapsed="false">
      <c r="A111" s="34" t="n">
        <f aca="false">B111-0.5</f>
        <v>3</v>
      </c>
      <c r="B111" s="34" t="n">
        <v>3.5</v>
      </c>
      <c r="C111" s="18" t="n">
        <v>29.5</v>
      </c>
      <c r="D111" s="18" t="n">
        <v>-94.3</v>
      </c>
      <c r="E111" s="18" t="n">
        <v>70</v>
      </c>
      <c r="F111" s="35" t="n">
        <f aca="false">E111*0.5144</f>
        <v>36.008</v>
      </c>
      <c r="G111" s="22" t="e">
        <f aca="false">arclethnm(C110,D110,C111,D111)/6</f>
        <v>#NAME?</v>
      </c>
      <c r="H111" s="36" t="e">
        <f aca="false">G111*0.5144</f>
        <v>#NAME?</v>
      </c>
      <c r="I111" s="23" t="n">
        <v>984</v>
      </c>
      <c r="J111" s="18" t="n">
        <v>0</v>
      </c>
      <c r="K111" s="19" t="n">
        <v>0</v>
      </c>
    </row>
    <row r="112" customFormat="false" ht="12.75" hidden="false" customHeight="false" outlineLevel="0" collapsed="false">
      <c r="A112" s="34" t="n">
        <f aca="false">B112-0.5</f>
        <v>3.04</v>
      </c>
      <c r="B112" s="34" t="n">
        <v>3.54</v>
      </c>
      <c r="C112" s="18" t="n">
        <v>30.2</v>
      </c>
      <c r="D112" s="18" t="n">
        <v>-95.2</v>
      </c>
      <c r="E112" s="18" t="n">
        <v>50</v>
      </c>
      <c r="F112" s="35" t="n">
        <f aca="false">E112*0.5144</f>
        <v>25.72</v>
      </c>
      <c r="G112" s="22" t="e">
        <f aca="false">arclethnm(C111,D111,C112,D112)/6</f>
        <v>#NAME?</v>
      </c>
      <c r="H112" s="36" t="e">
        <f aca="false">G112*0.5144</f>
        <v>#NAME?</v>
      </c>
      <c r="I112" s="18" t="n">
        <v>993</v>
      </c>
      <c r="J112" s="18" t="n">
        <v>-999</v>
      </c>
      <c r="K112" s="19" t="n">
        <f aca="false">B112-3.5</f>
        <v>0.04</v>
      </c>
    </row>
    <row r="113" customFormat="false" ht="12.75" hidden="false" customHeight="false" outlineLevel="0" collapsed="false">
      <c r="A113" s="34" t="n">
        <f aca="false">B113-0.5</f>
        <v>3.25</v>
      </c>
      <c r="B113" s="34" t="n">
        <v>3.75</v>
      </c>
      <c r="C113" s="18" t="n">
        <v>30.8</v>
      </c>
      <c r="D113" s="18" t="n">
        <v>-96.1</v>
      </c>
      <c r="E113" s="18" t="n">
        <v>35</v>
      </c>
      <c r="F113" s="35" t="n">
        <f aca="false">E113*0.5144</f>
        <v>18.004</v>
      </c>
      <c r="G113" s="22" t="e">
        <f aca="false">arclethnm(C112,D112,C113,D113)/6</f>
        <v>#NAME?</v>
      </c>
      <c r="H113" s="36" t="e">
        <f aca="false">G113*0.5144</f>
        <v>#NAME?</v>
      </c>
      <c r="I113" s="18" t="n">
        <v>1000</v>
      </c>
      <c r="J113" s="18" t="n">
        <v>0</v>
      </c>
      <c r="K113" s="19" t="n">
        <f aca="false">B113-3.5</f>
        <v>0.25</v>
      </c>
    </row>
    <row r="114" customFormat="false" ht="12.75" hidden="false" customHeight="false" outlineLevel="0" collapsed="false">
      <c r="A114" s="34" t="n">
        <f aca="false">B114-0.5</f>
        <v>3.5</v>
      </c>
      <c r="B114" s="34" t="n">
        <v>4</v>
      </c>
      <c r="C114" s="18" t="n">
        <v>31.5</v>
      </c>
      <c r="D114" s="18" t="n">
        <v>-96.9</v>
      </c>
      <c r="E114" s="18" t="n">
        <v>25</v>
      </c>
      <c r="F114" s="35" t="n">
        <f aca="false">E114*0.5144</f>
        <v>12.86</v>
      </c>
      <c r="G114" s="22" t="e">
        <f aca="false">arclethnm(C113,D113,C114,D114)/6</f>
        <v>#NAME?</v>
      </c>
      <c r="H114" s="36" t="e">
        <f aca="false">G114*0.5144</f>
        <v>#NAME?</v>
      </c>
      <c r="I114" s="18" t="n">
        <v>1004</v>
      </c>
      <c r="J114" s="18" t="n">
        <v>0</v>
      </c>
      <c r="K114" s="19" t="n">
        <f aca="false">B114-3.5</f>
        <v>0.5</v>
      </c>
    </row>
    <row r="115" customFormat="false" ht="12.75" hidden="false" customHeight="false" outlineLevel="0" collapsed="false">
      <c r="A115" s="34" t="n">
        <f aca="false">B115-0.5</f>
        <v>3.75</v>
      </c>
      <c r="B115" s="34" t="n">
        <v>4.25</v>
      </c>
      <c r="C115" s="18" t="n">
        <v>32.3</v>
      </c>
      <c r="D115" s="18" t="n">
        <v>-97.5</v>
      </c>
      <c r="E115" s="18" t="n">
        <v>20</v>
      </c>
      <c r="F115" s="35" t="n">
        <f aca="false">E115*0.5144</f>
        <v>10.288</v>
      </c>
      <c r="G115" s="22" t="e">
        <f aca="false">arclethnm(C114,D114,C115,D115)/6</f>
        <v>#NAME?</v>
      </c>
      <c r="H115" s="36" t="e">
        <f aca="false">G115*0.5144</f>
        <v>#NAME?</v>
      </c>
      <c r="I115" s="18" t="n">
        <v>1007</v>
      </c>
      <c r="J115" s="18" t="n">
        <v>0</v>
      </c>
      <c r="K115" s="19" t="n">
        <f aca="false">B115-3.5</f>
        <v>0.75</v>
      </c>
    </row>
    <row r="116" customFormat="false" ht="12.75" hidden="false" customHeight="false" outlineLevel="0" collapsed="false">
      <c r="A116" s="34" t="n">
        <f aca="false">B116-0.5</f>
        <v>4</v>
      </c>
      <c r="B116" s="19" t="n">
        <v>4.5</v>
      </c>
      <c r="C116" s="18" t="n">
        <v>33.3</v>
      </c>
      <c r="D116" s="18" t="n">
        <v>-98</v>
      </c>
      <c r="E116" s="18" t="n">
        <v>20</v>
      </c>
      <c r="F116" s="35" t="n">
        <f aca="false">E116*0.5144</f>
        <v>10.288</v>
      </c>
      <c r="G116" s="22" t="e">
        <f aca="false">arclethnm(C115,D115,C116,D116)/6</f>
        <v>#NAME?</v>
      </c>
      <c r="H116" s="36" t="e">
        <f aca="false">G116*0.5144</f>
        <v>#NAME?</v>
      </c>
      <c r="I116" s="18" t="n">
        <v>1008</v>
      </c>
      <c r="J116" s="18" t="n">
        <v>0</v>
      </c>
      <c r="K116" s="19" t="n">
        <f aca="false">B116-3.5</f>
        <v>1</v>
      </c>
    </row>
    <row r="117" customFormat="false" ht="12.75" hidden="false" customHeight="false" outlineLevel="0" collapsed="false">
      <c r="A117" s="34" t="n">
        <f aca="false">B117-0.5</f>
        <v>4.25</v>
      </c>
      <c r="B117" s="19" t="n">
        <v>4.75</v>
      </c>
      <c r="C117" s="18" t="n">
        <v>34.5</v>
      </c>
      <c r="D117" s="18" t="n">
        <v>-98.5</v>
      </c>
      <c r="E117" s="18" t="n">
        <v>20</v>
      </c>
      <c r="F117" s="35" t="n">
        <f aca="false">E117*0.5144</f>
        <v>10.288</v>
      </c>
      <c r="G117" s="22" t="e">
        <f aca="false">arclethnm(C116,D116,C117,D117)/6</f>
        <v>#NAME?</v>
      </c>
      <c r="H117" s="36" t="e">
        <f aca="false">G117*0.5144</f>
        <v>#NAME?</v>
      </c>
      <c r="I117" s="18" t="n">
        <v>1009</v>
      </c>
      <c r="J117" s="18" t="n">
        <v>0</v>
      </c>
      <c r="K117" s="19" t="n">
        <f aca="false">B117-3.5</f>
        <v>1.25</v>
      </c>
    </row>
    <row r="118" customFormat="false" ht="12.75" hidden="false" customHeight="false" outlineLevel="0" collapsed="false">
      <c r="A118" s="34"/>
      <c r="B118" s="0"/>
      <c r="C118" s="18"/>
      <c r="D118" s="18"/>
      <c r="E118" s="0"/>
      <c r="F118" s="0"/>
      <c r="G118" s="22"/>
      <c r="H118" s="36"/>
      <c r="I118" s="0"/>
      <c r="J118" s="18" t="n">
        <v>0</v>
      </c>
      <c r="K118" s="0"/>
    </row>
    <row r="119" customFormat="false" ht="12.75" hidden="false" customHeight="false" outlineLevel="0" collapsed="false">
      <c r="A119" s="0"/>
      <c r="B119" s="0"/>
      <c r="C119" s="0"/>
      <c r="D119" s="0"/>
      <c r="E119" s="0"/>
      <c r="F119" s="0"/>
      <c r="G119" s="22"/>
      <c r="H119" s="36"/>
      <c r="I119" s="0"/>
      <c r="J119" s="0"/>
      <c r="K119" s="0"/>
    </row>
    <row r="120" customFormat="false" ht="12.75" hidden="false" customHeight="false" outlineLevel="0" collapsed="false">
      <c r="A120" s="0"/>
      <c r="B120" s="20" t="s">
        <v>157</v>
      </c>
      <c r="C120" s="20"/>
      <c r="D120" s="20"/>
      <c r="E120" s="20" t="s">
        <v>119</v>
      </c>
      <c r="F120" s="0"/>
      <c r="G120" s="22"/>
      <c r="H120" s="36"/>
      <c r="I120" s="0"/>
      <c r="J120" s="0"/>
      <c r="K120" s="0"/>
    </row>
    <row r="121" customFormat="false" ht="12.75" hidden="false" customHeight="false" outlineLevel="0" collapsed="false">
      <c r="A121" s="34" t="n">
        <f aca="false">B121-0.5</f>
        <v>1</v>
      </c>
      <c r="B121" s="19" t="n">
        <v>1.5</v>
      </c>
      <c r="C121" s="18" t="n">
        <v>19.4</v>
      </c>
      <c r="D121" s="18" t="n">
        <v>-92.4</v>
      </c>
      <c r="E121" s="18" t="n">
        <v>25</v>
      </c>
      <c r="F121" s="35" t="n">
        <f aca="false">E121*0.5144</f>
        <v>12.86</v>
      </c>
      <c r="G121" s="22"/>
      <c r="H121" s="36"/>
      <c r="I121" s="18" t="n">
        <v>1009</v>
      </c>
      <c r="J121" s="18" t="n">
        <v>0</v>
      </c>
      <c r="K121" s="19" t="n">
        <f aca="false">B121-4.88</f>
        <v>-3.38</v>
      </c>
    </row>
    <row r="122" customFormat="false" ht="12.75" hidden="false" customHeight="false" outlineLevel="0" collapsed="false">
      <c r="A122" s="34" t="n">
        <f aca="false">B122-0.5</f>
        <v>1.25</v>
      </c>
      <c r="B122" s="19" t="n">
        <v>1.75</v>
      </c>
      <c r="C122" s="18" t="n">
        <v>19.8</v>
      </c>
      <c r="D122" s="18" t="n">
        <v>-92.7</v>
      </c>
      <c r="E122" s="18" t="n">
        <v>30</v>
      </c>
      <c r="F122" s="35" t="n">
        <f aca="false">E122*0.5144</f>
        <v>15.432</v>
      </c>
      <c r="G122" s="22" t="e">
        <f aca="false">arclethnm(C121,D121,C122,D122)/6</f>
        <v>#NAME?</v>
      </c>
      <c r="H122" s="36" t="e">
        <f aca="false">G122*0.5144</f>
        <v>#NAME?</v>
      </c>
      <c r="I122" s="18" t="n">
        <v>1006</v>
      </c>
      <c r="J122" s="18" t="n">
        <v>0</v>
      </c>
      <c r="K122" s="19" t="n">
        <f aca="false">B122-4.88</f>
        <v>-3.13</v>
      </c>
    </row>
    <row r="123" customFormat="false" ht="12.75" hidden="false" customHeight="false" outlineLevel="0" collapsed="false">
      <c r="A123" s="34" t="n">
        <f aca="false">B123-0.5</f>
        <v>1.5</v>
      </c>
      <c r="B123" s="19" t="n">
        <v>2</v>
      </c>
      <c r="C123" s="18" t="n">
        <v>20.4</v>
      </c>
      <c r="D123" s="18" t="n">
        <v>-93</v>
      </c>
      <c r="E123" s="18" t="n">
        <v>35</v>
      </c>
      <c r="F123" s="35" t="n">
        <f aca="false">E123*0.5144</f>
        <v>18.004</v>
      </c>
      <c r="G123" s="22" t="e">
        <f aca="false">arclethnm(C122,D122,C123,D123)/6</f>
        <v>#NAME?</v>
      </c>
      <c r="H123" s="36" t="e">
        <f aca="false">G123*0.5144</f>
        <v>#NAME?</v>
      </c>
      <c r="I123" s="18" t="n">
        <v>1004</v>
      </c>
      <c r="J123" s="18" t="n">
        <v>0</v>
      </c>
      <c r="K123" s="19" t="n">
        <f aca="false">B123-4.88</f>
        <v>-2.88</v>
      </c>
    </row>
    <row r="124" customFormat="false" ht="12.75" hidden="false" customHeight="false" outlineLevel="0" collapsed="false">
      <c r="A124" s="34" t="n">
        <f aca="false">B124-0.5</f>
        <v>1.75</v>
      </c>
      <c r="B124" s="19" t="n">
        <v>2.25</v>
      </c>
      <c r="C124" s="18" t="n">
        <v>21</v>
      </c>
      <c r="D124" s="18" t="n">
        <v>-93.2</v>
      </c>
      <c r="E124" s="18" t="n">
        <v>40</v>
      </c>
      <c r="F124" s="35" t="n">
        <f aca="false">E124*0.5144</f>
        <v>20.576</v>
      </c>
      <c r="G124" s="22" t="e">
        <f aca="false">arclethnm(C123,D123,C124,D124)/6</f>
        <v>#NAME?</v>
      </c>
      <c r="H124" s="36" t="e">
        <f aca="false">G124*0.5144</f>
        <v>#NAME?</v>
      </c>
      <c r="I124" s="18" t="n">
        <v>1001</v>
      </c>
      <c r="J124" s="18" t="n">
        <v>0</v>
      </c>
      <c r="K124" s="19" t="n">
        <f aca="false">B124-4.88</f>
        <v>-2.63</v>
      </c>
    </row>
    <row r="125" customFormat="false" ht="12.75" hidden="false" customHeight="false" outlineLevel="0" collapsed="false">
      <c r="A125" s="34" t="n">
        <f aca="false">B125-0.5</f>
        <v>2</v>
      </c>
      <c r="B125" s="19" t="n">
        <v>2.5</v>
      </c>
      <c r="C125" s="18" t="n">
        <v>21.7</v>
      </c>
      <c r="D125" s="18" t="n">
        <v>-93.3</v>
      </c>
      <c r="E125" s="18" t="n">
        <v>45</v>
      </c>
      <c r="F125" s="35" t="n">
        <f aca="false">E125*0.5144</f>
        <v>23.148</v>
      </c>
      <c r="G125" s="22" t="e">
        <f aca="false">arclethnm(C124,D124,C125,D125)/6</f>
        <v>#NAME?</v>
      </c>
      <c r="H125" s="36" t="e">
        <f aca="false">G125*0.5144</f>
        <v>#NAME?</v>
      </c>
      <c r="I125" s="18" t="n">
        <v>997</v>
      </c>
      <c r="J125" s="18" t="n">
        <v>0</v>
      </c>
      <c r="K125" s="19" t="n">
        <f aca="false">B125-4.88</f>
        <v>-2.38</v>
      </c>
    </row>
    <row r="126" customFormat="false" ht="12.75" hidden="false" customHeight="false" outlineLevel="0" collapsed="false">
      <c r="A126" s="34" t="n">
        <f aca="false">B126-0.5</f>
        <v>2.25</v>
      </c>
      <c r="B126" s="19" t="n">
        <v>2.75</v>
      </c>
      <c r="C126" s="18" t="n">
        <v>22.6</v>
      </c>
      <c r="D126" s="18" t="n">
        <v>-93.4</v>
      </c>
      <c r="E126" s="18" t="n">
        <v>50</v>
      </c>
      <c r="F126" s="35" t="n">
        <f aca="false">E126*0.5144</f>
        <v>25.72</v>
      </c>
      <c r="G126" s="22" t="e">
        <f aca="false">arclethnm(C125,D125,C126,D126)/6</f>
        <v>#NAME?</v>
      </c>
      <c r="H126" s="36" t="e">
        <f aca="false">G126*0.5144</f>
        <v>#NAME?</v>
      </c>
      <c r="I126" s="18" t="n">
        <v>995</v>
      </c>
      <c r="J126" s="18" t="n">
        <v>0</v>
      </c>
      <c r="K126" s="19" t="n">
        <f aca="false">B126-4.88</f>
        <v>-2.13</v>
      </c>
    </row>
    <row r="127" customFormat="false" ht="12.75" hidden="false" customHeight="false" outlineLevel="0" collapsed="false">
      <c r="A127" s="34" t="n">
        <f aca="false">B127-0.5</f>
        <v>2.5</v>
      </c>
      <c r="B127" s="19" t="n">
        <v>3</v>
      </c>
      <c r="C127" s="18" t="n">
        <v>23.5</v>
      </c>
      <c r="D127" s="18" t="n">
        <v>-93.5</v>
      </c>
      <c r="E127" s="18" t="n">
        <v>55</v>
      </c>
      <c r="F127" s="35" t="n">
        <f aca="false">E127*0.5144</f>
        <v>28.292</v>
      </c>
      <c r="G127" s="22" t="e">
        <f aca="false">arclethnm(C126,D126,C127,D127)/6</f>
        <v>#NAME?</v>
      </c>
      <c r="H127" s="36" t="e">
        <f aca="false">G127*0.5144</f>
        <v>#NAME?</v>
      </c>
      <c r="I127" s="18" t="n">
        <v>991</v>
      </c>
      <c r="J127" s="18" t="n">
        <v>0</v>
      </c>
      <c r="K127" s="19" t="n">
        <f aca="false">B127-4.88</f>
        <v>-1.88</v>
      </c>
    </row>
    <row r="128" customFormat="false" ht="12.75" hidden="false" customHeight="false" outlineLevel="0" collapsed="false">
      <c r="A128" s="34" t="n">
        <f aca="false">B128-0.5</f>
        <v>2.75</v>
      </c>
      <c r="B128" s="19" t="n">
        <v>3.25</v>
      </c>
      <c r="C128" s="18" t="n">
        <v>24.2</v>
      </c>
      <c r="D128" s="18" t="n">
        <v>-93.3</v>
      </c>
      <c r="E128" s="18" t="n">
        <v>55</v>
      </c>
      <c r="F128" s="35" t="n">
        <f aca="false">E128*0.5144</f>
        <v>28.292</v>
      </c>
      <c r="G128" s="22" t="e">
        <f aca="false">arclethnm(C127,D127,C128,D128)/6</f>
        <v>#NAME?</v>
      </c>
      <c r="H128" s="36" t="e">
        <f aca="false">G128*0.5144</f>
        <v>#NAME?</v>
      </c>
      <c r="I128" s="18" t="n">
        <v>992</v>
      </c>
      <c r="J128" s="18" t="n">
        <v>0</v>
      </c>
      <c r="K128" s="19" t="n">
        <f aca="false">B128-4.88</f>
        <v>-1.63</v>
      </c>
    </row>
    <row r="129" customFormat="false" ht="12.75" hidden="false" customHeight="false" outlineLevel="0" collapsed="false">
      <c r="A129" s="34" t="n">
        <f aca="false">B129-0.5</f>
        <v>3</v>
      </c>
      <c r="B129" s="19" t="n">
        <v>3.5</v>
      </c>
      <c r="C129" s="18" t="n">
        <v>24.6</v>
      </c>
      <c r="D129" s="18" t="n">
        <v>-93.1</v>
      </c>
      <c r="E129" s="18" t="n">
        <v>55</v>
      </c>
      <c r="F129" s="35" t="n">
        <f aca="false">E129*0.5144</f>
        <v>28.292</v>
      </c>
      <c r="G129" s="22" t="e">
        <f aca="false">arclethnm(C128,D128,C129,D129)/6</f>
        <v>#NAME?</v>
      </c>
      <c r="H129" s="36" t="e">
        <f aca="false">G129*0.5144</f>
        <v>#NAME?</v>
      </c>
      <c r="I129" s="18" t="n">
        <v>992</v>
      </c>
      <c r="J129" s="18" t="n">
        <v>0</v>
      </c>
      <c r="K129" s="19" t="n">
        <f aca="false">B129-4.88</f>
        <v>-1.38</v>
      </c>
    </row>
    <row r="130" customFormat="false" ht="12.75" hidden="false" customHeight="false" outlineLevel="0" collapsed="false">
      <c r="A130" s="34" t="n">
        <f aca="false">B130-0.5</f>
        <v>3.25</v>
      </c>
      <c r="B130" s="19" t="n">
        <v>3.75</v>
      </c>
      <c r="C130" s="18" t="n">
        <v>25</v>
      </c>
      <c r="D130" s="18" t="n">
        <v>-92.8</v>
      </c>
      <c r="E130" s="18" t="n">
        <v>55</v>
      </c>
      <c r="F130" s="35" t="n">
        <f aca="false">E130*0.5144</f>
        <v>28.292</v>
      </c>
      <c r="G130" s="22" t="e">
        <f aca="false">arclethnm(C129,D129,C130,D130)/6</f>
        <v>#NAME?</v>
      </c>
      <c r="H130" s="36" t="e">
        <f aca="false">G130*0.5144</f>
        <v>#NAME?</v>
      </c>
      <c r="I130" s="18" t="n">
        <v>994</v>
      </c>
      <c r="J130" s="18" t="n">
        <v>0</v>
      </c>
      <c r="K130" s="19" t="n">
        <f aca="false">B130-4.88</f>
        <v>-1.13</v>
      </c>
    </row>
    <row r="131" customFormat="false" ht="12.75" hidden="false" customHeight="false" outlineLevel="0" collapsed="false">
      <c r="A131" s="34" t="n">
        <f aca="false">B131-0.5</f>
        <v>3.5</v>
      </c>
      <c r="B131" s="19" t="n">
        <v>4</v>
      </c>
      <c r="C131" s="18" t="n">
        <v>25.8</v>
      </c>
      <c r="D131" s="18" t="n">
        <v>-93.1</v>
      </c>
      <c r="E131" s="18" t="n">
        <v>55</v>
      </c>
      <c r="F131" s="35" t="n">
        <f aca="false">E131*0.5144</f>
        <v>28.292</v>
      </c>
      <c r="G131" s="22" t="e">
        <f aca="false">arclethnm(C130,D130,C131,D131)/6</f>
        <v>#NAME?</v>
      </c>
      <c r="H131" s="36" t="e">
        <f aca="false">G131*0.5144</f>
        <v>#NAME?</v>
      </c>
      <c r="I131" s="18" t="n">
        <v>994</v>
      </c>
      <c r="J131" s="18" t="n">
        <v>0</v>
      </c>
      <c r="K131" s="19" t="n">
        <f aca="false">B131-4.88</f>
        <v>-0.88</v>
      </c>
    </row>
    <row r="132" customFormat="false" ht="12.75" hidden="false" customHeight="false" outlineLevel="0" collapsed="false">
      <c r="A132" s="34" t="n">
        <f aca="false">B132-0.5</f>
        <v>3.75</v>
      </c>
      <c r="B132" s="19" t="n">
        <v>4.25</v>
      </c>
      <c r="C132" s="18" t="n">
        <v>26.5</v>
      </c>
      <c r="D132" s="18" t="n">
        <v>-93.4</v>
      </c>
      <c r="E132" s="18" t="n">
        <v>55</v>
      </c>
      <c r="F132" s="35" t="n">
        <f aca="false">E132*0.5144</f>
        <v>28.292</v>
      </c>
      <c r="G132" s="22" t="e">
        <f aca="false">arclethnm(C131,D131,C132,D132)/6</f>
        <v>#NAME?</v>
      </c>
      <c r="H132" s="36" t="e">
        <f aca="false">G132*0.5144</f>
        <v>#NAME?</v>
      </c>
      <c r="I132" s="18" t="n">
        <v>994</v>
      </c>
      <c r="J132" s="18" t="n">
        <v>0</v>
      </c>
      <c r="K132" s="19" t="n">
        <f aca="false">B132-4.88</f>
        <v>-0.63</v>
      </c>
    </row>
    <row r="133" customFormat="false" ht="12.75" hidden="false" customHeight="false" outlineLevel="0" collapsed="false">
      <c r="A133" s="34" t="n">
        <f aca="false">B133-0.5</f>
        <v>4</v>
      </c>
      <c r="B133" s="19" t="n">
        <v>4.5</v>
      </c>
      <c r="C133" s="18" t="n">
        <v>27.3</v>
      </c>
      <c r="D133" s="18" t="n">
        <v>-94</v>
      </c>
      <c r="E133" s="18" t="n">
        <v>60</v>
      </c>
      <c r="F133" s="35" t="n">
        <f aca="false">E133*0.5144</f>
        <v>30.864</v>
      </c>
      <c r="G133" s="22" t="e">
        <f aca="false">arclethnm(C132,D132,C133,D133)/6</f>
        <v>#NAME?</v>
      </c>
      <c r="H133" s="36" t="e">
        <f aca="false">G133*0.5144</f>
        <v>#NAME?</v>
      </c>
      <c r="I133" s="18" t="n">
        <v>991</v>
      </c>
      <c r="J133" s="18" t="n">
        <v>0</v>
      </c>
      <c r="K133" s="19" t="n">
        <f aca="false">B133-4.88</f>
        <v>-0.38</v>
      </c>
    </row>
    <row r="134" customFormat="false" ht="12.75" hidden="false" customHeight="false" outlineLevel="0" collapsed="false">
      <c r="A134" s="34" t="n">
        <f aca="false">B134-0.5</f>
        <v>4.25</v>
      </c>
      <c r="B134" s="19" t="n">
        <v>4.75</v>
      </c>
      <c r="C134" s="18" t="n">
        <v>28.1</v>
      </c>
      <c r="D134" s="18" t="n">
        <v>-94.6</v>
      </c>
      <c r="E134" s="18" t="n">
        <v>65</v>
      </c>
      <c r="F134" s="35" t="n">
        <f aca="false">E134*0.5144</f>
        <v>33.436</v>
      </c>
      <c r="G134" s="22" t="e">
        <f aca="false">arclethnm(C133,D133,C134,D134)/6</f>
        <v>#NAME?</v>
      </c>
      <c r="H134" s="36" t="e">
        <f aca="false">G134*0.5144</f>
        <v>#NAME?</v>
      </c>
      <c r="I134" s="18" t="n">
        <v>986</v>
      </c>
      <c r="J134" s="18" t="n">
        <v>0</v>
      </c>
      <c r="K134" s="19" t="n">
        <f aca="false">B134-4.88</f>
        <v>-0.13</v>
      </c>
    </row>
    <row r="135" customFormat="false" ht="12.75" hidden="false" customHeight="false" outlineLevel="0" collapsed="false">
      <c r="A135" s="34" t="n">
        <f aca="false">B135-0.5</f>
        <v>4.38</v>
      </c>
      <c r="B135" s="19" t="n">
        <v>4.88</v>
      </c>
      <c r="C135" s="18" t="n">
        <v>29.1</v>
      </c>
      <c r="D135" s="18" t="n">
        <v>-95</v>
      </c>
      <c r="E135" s="18" t="n">
        <v>75</v>
      </c>
      <c r="F135" s="35" t="n">
        <f aca="false">E135*0.5144</f>
        <v>38.58</v>
      </c>
      <c r="G135" s="22" t="e">
        <f aca="false">arclethnm(C134,D134,C135,D135)/6</f>
        <v>#NAME?</v>
      </c>
      <c r="H135" s="36" t="e">
        <f aca="false">G135*0.5144</f>
        <v>#NAME?</v>
      </c>
      <c r="I135" s="23" t="n">
        <v>983</v>
      </c>
      <c r="J135" s="18" t="n">
        <v>-999</v>
      </c>
      <c r="K135" s="19" t="n">
        <v>0</v>
      </c>
    </row>
    <row r="136" customFormat="false" ht="12.75" hidden="false" customHeight="false" outlineLevel="0" collapsed="false">
      <c r="A136" s="34" t="n">
        <f aca="false">B136-0.5</f>
        <v>4.5</v>
      </c>
      <c r="B136" s="19" t="n">
        <v>5</v>
      </c>
      <c r="C136" s="18" t="n">
        <v>30.4</v>
      </c>
      <c r="D136" s="18" t="n">
        <v>-94.9</v>
      </c>
      <c r="E136" s="18" t="n">
        <v>35</v>
      </c>
      <c r="F136" s="35" t="n">
        <f aca="false">E136*0.5144</f>
        <v>18.004</v>
      </c>
      <c r="G136" s="22" t="e">
        <f aca="false">arclethnm(C135,D135,C136,D136)/6</f>
        <v>#NAME?</v>
      </c>
      <c r="H136" s="36" t="e">
        <f aca="false">G136*0.5144</f>
        <v>#NAME?</v>
      </c>
      <c r="I136" s="18" t="n">
        <v>991</v>
      </c>
      <c r="J136" s="18" t="n">
        <v>0</v>
      </c>
      <c r="K136" s="19" t="n">
        <f aca="false">B136-4.88</f>
        <v>0.12</v>
      </c>
    </row>
    <row r="137" customFormat="false" ht="12.75" hidden="false" customHeight="false" outlineLevel="0" collapsed="false">
      <c r="A137" s="34" t="n">
        <f aca="false">B137-0.5</f>
        <v>4.51</v>
      </c>
      <c r="B137" s="19" t="n">
        <v>5.01</v>
      </c>
      <c r="C137" s="18" t="n">
        <v>32</v>
      </c>
      <c r="D137" s="18" t="n">
        <v>-94.5</v>
      </c>
      <c r="E137" s="18" t="n">
        <v>20</v>
      </c>
      <c r="F137" s="35" t="n">
        <f aca="false">E137*0.5144</f>
        <v>10.288</v>
      </c>
      <c r="G137" s="22" t="e">
        <f aca="false">arclethnm(C136,D136,C137,D137)/6</f>
        <v>#NAME?</v>
      </c>
      <c r="H137" s="36" t="e">
        <f aca="false">G137*0.5144</f>
        <v>#NAME?</v>
      </c>
      <c r="I137" s="18" t="n">
        <v>1000</v>
      </c>
      <c r="J137" s="18" t="n">
        <v>-999</v>
      </c>
      <c r="K137" s="19" t="n">
        <f aca="false">B137-4.88</f>
        <v>0.13</v>
      </c>
    </row>
    <row r="138" customFormat="false" ht="12.75" hidden="false" customHeight="false" outlineLevel="0" collapsed="false">
      <c r="A138" s="34" t="n">
        <f aca="false">B138-0.5</f>
        <v>4.75</v>
      </c>
      <c r="B138" s="19" t="n">
        <v>5.25</v>
      </c>
      <c r="C138" s="18" t="n">
        <v>33.8</v>
      </c>
      <c r="D138" s="18" t="n">
        <v>-93.8</v>
      </c>
      <c r="E138" s="18" t="n">
        <v>15</v>
      </c>
      <c r="F138" s="35" t="n">
        <f aca="false">E138*0.5144</f>
        <v>7.716</v>
      </c>
      <c r="G138" s="22" t="e">
        <f aca="false">arclethnm(C137,D137,C138,D138)/6</f>
        <v>#NAME?</v>
      </c>
      <c r="H138" s="36" t="e">
        <f aca="false">G138*0.5144</f>
        <v>#NAME?</v>
      </c>
      <c r="I138" s="18" t="n">
        <v>1009</v>
      </c>
      <c r="J138" s="18" t="n">
        <v>0</v>
      </c>
      <c r="K138" s="19" t="n">
        <f aca="false">B138-4.88</f>
        <v>0.37</v>
      </c>
    </row>
    <row r="139" customFormat="false" ht="12.75" hidden="false" customHeight="false" outlineLevel="0" collapsed="false">
      <c r="A139" s="34"/>
      <c r="B139" s="0"/>
      <c r="C139" s="0"/>
      <c r="D139" s="0"/>
      <c r="E139" s="0"/>
      <c r="F139" s="0"/>
      <c r="G139" s="22"/>
      <c r="H139" s="36"/>
      <c r="I139" s="0"/>
      <c r="J139" s="18"/>
      <c r="K139" s="0"/>
    </row>
    <row r="140" customFormat="false" ht="12.75" hidden="false" customHeight="false" outlineLevel="0" collapsed="false">
      <c r="A140" s="34"/>
      <c r="B140" s="0"/>
      <c r="C140" s="0"/>
      <c r="D140" s="0"/>
      <c r="E140" s="0"/>
      <c r="F140" s="0"/>
      <c r="G140" s="22"/>
      <c r="H140" s="36"/>
      <c r="I140" s="0"/>
      <c r="J140" s="18"/>
      <c r="K140" s="0"/>
    </row>
    <row r="141" customFormat="false" ht="12.75" hidden="false" customHeight="false" outlineLevel="0" collapsed="false">
      <c r="A141" s="0"/>
      <c r="B141" s="0"/>
      <c r="C141" s="0"/>
      <c r="D141" s="0"/>
      <c r="E141" s="0"/>
      <c r="F141" s="0"/>
      <c r="G141" s="22"/>
      <c r="H141" s="36"/>
      <c r="I141" s="0"/>
      <c r="J141" s="0"/>
      <c r="K141" s="0"/>
    </row>
    <row r="142" customFormat="false" ht="12.75" hidden="false" customHeight="false" outlineLevel="0" collapsed="false">
      <c r="A142" s="0"/>
      <c r="B142" s="20" t="s">
        <v>158</v>
      </c>
      <c r="C142" s="20"/>
      <c r="D142" s="20"/>
      <c r="E142" s="20" t="s">
        <v>31</v>
      </c>
      <c r="F142" s="0"/>
      <c r="G142" s="22"/>
      <c r="H142" s="36"/>
      <c r="I142" s="0"/>
      <c r="J142" s="0"/>
      <c r="K142" s="0"/>
    </row>
    <row r="143" customFormat="false" ht="12.75" hidden="false" customHeight="false" outlineLevel="0" collapsed="false">
      <c r="A143" s="19" t="n">
        <f aca="false">B143-0.75</f>
        <v>1</v>
      </c>
      <c r="B143" s="19" t="n">
        <v>1.75</v>
      </c>
      <c r="C143" s="18" t="n">
        <v>19.5</v>
      </c>
      <c r="D143" s="18" t="n">
        <v>-94.4</v>
      </c>
      <c r="E143" s="18" t="n">
        <v>30</v>
      </c>
      <c r="F143" s="35" t="n">
        <f aca="false">E143*0.5144</f>
        <v>15.432</v>
      </c>
      <c r="G143" s="22"/>
      <c r="H143" s="36"/>
      <c r="I143" s="18" t="n">
        <v>1010</v>
      </c>
      <c r="J143" s="18" t="n">
        <v>0</v>
      </c>
      <c r="K143" s="19" t="n">
        <f aca="false">B143-5.5</f>
        <v>-3.75</v>
      </c>
    </row>
    <row r="144" customFormat="false" ht="12.75" hidden="false" customHeight="false" outlineLevel="0" collapsed="false">
      <c r="A144" s="19" t="n">
        <f aca="false">B144-0.75</f>
        <v>1.25</v>
      </c>
      <c r="B144" s="19" t="n">
        <v>2</v>
      </c>
      <c r="C144" s="18" t="n">
        <v>19.5</v>
      </c>
      <c r="D144" s="18" t="n">
        <v>-94.5</v>
      </c>
      <c r="E144" s="18" t="n">
        <v>30</v>
      </c>
      <c r="F144" s="35" t="n">
        <f aca="false">E144*0.5144</f>
        <v>15.432</v>
      </c>
      <c r="G144" s="22" t="e">
        <f aca="false">arclethnm(C143,D143,C144,D144)/6</f>
        <v>#NAME?</v>
      </c>
      <c r="H144" s="36" t="e">
        <f aca="false">G144*0.5144</f>
        <v>#NAME?</v>
      </c>
      <c r="I144" s="18" t="n">
        <v>1008</v>
      </c>
      <c r="J144" s="18" t="n">
        <v>0</v>
      </c>
      <c r="K144" s="19" t="n">
        <f aca="false">B144-5.5</f>
        <v>-3.5</v>
      </c>
    </row>
    <row r="145" customFormat="false" ht="12.75" hidden="false" customHeight="false" outlineLevel="0" collapsed="false">
      <c r="A145" s="19" t="n">
        <f aca="false">B145-0.75</f>
        <v>1.5</v>
      </c>
      <c r="B145" s="19" t="n">
        <v>2.25</v>
      </c>
      <c r="C145" s="18" t="n">
        <v>19.6</v>
      </c>
      <c r="D145" s="18" t="n">
        <v>-94.6</v>
      </c>
      <c r="E145" s="18" t="n">
        <v>30</v>
      </c>
      <c r="F145" s="35" t="n">
        <f aca="false">E145*0.5144</f>
        <v>15.432</v>
      </c>
      <c r="G145" s="22" t="e">
        <f aca="false">arclethnm(C144,D144,C145,D145)/6</f>
        <v>#NAME?</v>
      </c>
      <c r="H145" s="36" t="e">
        <f aca="false">G145*0.5144</f>
        <v>#NAME?</v>
      </c>
      <c r="I145" s="18" t="n">
        <v>1008</v>
      </c>
      <c r="J145" s="18" t="n">
        <v>0</v>
      </c>
      <c r="K145" s="19" t="n">
        <f aca="false">B145-5.5</f>
        <v>-3.25</v>
      </c>
    </row>
    <row r="146" customFormat="false" ht="12.75" hidden="false" customHeight="false" outlineLevel="0" collapsed="false">
      <c r="A146" s="19" t="n">
        <f aca="false">B146-0.75</f>
        <v>1.75</v>
      </c>
      <c r="B146" s="19" t="n">
        <v>2.5</v>
      </c>
      <c r="C146" s="18" t="n">
        <v>19.7</v>
      </c>
      <c r="D146" s="18" t="n">
        <v>-94.6</v>
      </c>
      <c r="E146" s="18" t="n">
        <v>30</v>
      </c>
      <c r="F146" s="35" t="n">
        <f aca="false">E146*0.5144</f>
        <v>15.432</v>
      </c>
      <c r="G146" s="22" t="e">
        <f aca="false">arclethnm(C145,D145,C146,D146)/6</f>
        <v>#NAME?</v>
      </c>
      <c r="H146" s="36" t="e">
        <f aca="false">G146*0.5144</f>
        <v>#NAME?</v>
      </c>
      <c r="I146" s="18" t="n">
        <v>1008</v>
      </c>
      <c r="J146" s="18" t="n">
        <v>0</v>
      </c>
      <c r="K146" s="19" t="n">
        <f aca="false">B146-5.5</f>
        <v>-3</v>
      </c>
    </row>
    <row r="147" customFormat="false" ht="12.75" hidden="false" customHeight="false" outlineLevel="0" collapsed="false">
      <c r="A147" s="19" t="n">
        <f aca="false">B147-0.75</f>
        <v>2</v>
      </c>
      <c r="B147" s="19" t="n">
        <v>2.75</v>
      </c>
      <c r="C147" s="18" t="n">
        <v>19.8</v>
      </c>
      <c r="D147" s="18" t="n">
        <v>-94.7</v>
      </c>
      <c r="E147" s="18" t="n">
        <v>35</v>
      </c>
      <c r="F147" s="35" t="n">
        <f aca="false">E147*0.5144</f>
        <v>18.004</v>
      </c>
      <c r="G147" s="22" t="e">
        <f aca="false">arclethnm(C146,D146,C147,D147)/6</f>
        <v>#NAME?</v>
      </c>
      <c r="H147" s="36" t="e">
        <f aca="false">G147*0.5144</f>
        <v>#NAME?</v>
      </c>
      <c r="I147" s="18" t="n">
        <v>1005</v>
      </c>
      <c r="J147" s="18" t="n">
        <v>0</v>
      </c>
      <c r="K147" s="19" t="n">
        <f aca="false">B147-5.5</f>
        <v>-2.75</v>
      </c>
    </row>
    <row r="148" customFormat="false" ht="12.75" hidden="false" customHeight="false" outlineLevel="0" collapsed="false">
      <c r="A148" s="19" t="n">
        <f aca="false">B148-0.75</f>
        <v>2.25</v>
      </c>
      <c r="B148" s="19" t="n">
        <v>3</v>
      </c>
      <c r="C148" s="18" t="n">
        <v>19.8</v>
      </c>
      <c r="D148" s="18" t="n">
        <v>-94.7</v>
      </c>
      <c r="E148" s="18" t="n">
        <v>40</v>
      </c>
      <c r="F148" s="35" t="n">
        <f aca="false">E148*0.5144</f>
        <v>20.576</v>
      </c>
      <c r="G148" s="22" t="e">
        <f aca="false">arclethnm(C147,D147,C148,D148)/6</f>
        <v>#NAME?</v>
      </c>
      <c r="H148" s="36" t="e">
        <f aca="false">G148*0.5144</f>
        <v>#NAME?</v>
      </c>
      <c r="I148" s="18" t="n">
        <v>1000</v>
      </c>
      <c r="J148" s="18" t="n">
        <v>0</v>
      </c>
      <c r="K148" s="19" t="n">
        <f aca="false">B148-5.5</f>
        <v>-2.5</v>
      </c>
    </row>
    <row r="149" customFormat="false" ht="12.75" hidden="false" customHeight="false" outlineLevel="0" collapsed="false">
      <c r="A149" s="19" t="n">
        <f aca="false">B149-0.75</f>
        <v>2.5</v>
      </c>
      <c r="B149" s="19" t="n">
        <v>3.25</v>
      </c>
      <c r="C149" s="18" t="n">
        <v>20</v>
      </c>
      <c r="D149" s="18" t="n">
        <v>-94.6</v>
      </c>
      <c r="E149" s="18" t="n">
        <v>45</v>
      </c>
      <c r="F149" s="35" t="n">
        <f aca="false">E149*0.5144</f>
        <v>23.148</v>
      </c>
      <c r="G149" s="22" t="e">
        <f aca="false">arclethnm(C148,D148,C149,D149)/6</f>
        <v>#NAME?</v>
      </c>
      <c r="H149" s="36" t="e">
        <f aca="false">G149*0.5144</f>
        <v>#NAME?</v>
      </c>
      <c r="I149" s="18" t="n">
        <v>998</v>
      </c>
      <c r="J149" s="18" t="n">
        <v>0</v>
      </c>
      <c r="K149" s="19" t="n">
        <f aca="false">B149-5.5</f>
        <v>-2.25</v>
      </c>
    </row>
    <row r="150" customFormat="false" ht="12.75" hidden="false" customHeight="false" outlineLevel="0" collapsed="false">
      <c r="A150" s="19" t="n">
        <f aca="false">B150-0.75</f>
        <v>2.75</v>
      </c>
      <c r="B150" s="19" t="n">
        <v>3.5</v>
      </c>
      <c r="C150" s="18" t="n">
        <v>20.4</v>
      </c>
      <c r="D150" s="18" t="n">
        <v>-94.5</v>
      </c>
      <c r="E150" s="18" t="n">
        <v>50</v>
      </c>
      <c r="F150" s="35" t="n">
        <f aca="false">E150*0.5144</f>
        <v>25.72</v>
      </c>
      <c r="G150" s="22" t="e">
        <f aca="false">arclethnm(C149,D149,C150,D150)/6</f>
        <v>#NAME?</v>
      </c>
      <c r="H150" s="36" t="e">
        <f aca="false">G150*0.5144</f>
        <v>#NAME?</v>
      </c>
      <c r="I150" s="18" t="n">
        <v>993</v>
      </c>
      <c r="J150" s="18" t="n">
        <v>0</v>
      </c>
      <c r="K150" s="19" t="n">
        <f aca="false">B150-5.5</f>
        <v>-2</v>
      </c>
    </row>
    <row r="151" customFormat="false" ht="12.75" hidden="false" customHeight="false" outlineLevel="0" collapsed="false">
      <c r="A151" s="19" t="n">
        <f aca="false">B151-0.75</f>
        <v>3</v>
      </c>
      <c r="B151" s="19" t="n">
        <v>3.75</v>
      </c>
      <c r="C151" s="18" t="n">
        <v>21.2</v>
      </c>
      <c r="D151" s="18" t="n">
        <v>-94.4</v>
      </c>
      <c r="E151" s="18" t="n">
        <v>55</v>
      </c>
      <c r="F151" s="35" t="n">
        <f aca="false">E151*0.5144</f>
        <v>28.292</v>
      </c>
      <c r="G151" s="22" t="e">
        <f aca="false">arclethnm(C150,D150,C151,D151)/6</f>
        <v>#NAME?</v>
      </c>
      <c r="H151" s="36" t="e">
        <f aca="false">G151*0.5144</f>
        <v>#NAME?</v>
      </c>
      <c r="I151" s="18" t="n">
        <v>991</v>
      </c>
      <c r="J151" s="18" t="n">
        <v>0</v>
      </c>
      <c r="K151" s="19" t="n">
        <f aca="false">B151-5.5</f>
        <v>-1.75</v>
      </c>
    </row>
    <row r="152" customFormat="false" ht="12.75" hidden="false" customHeight="false" outlineLevel="0" collapsed="false">
      <c r="A152" s="19" t="n">
        <f aca="false">B152-0.75</f>
        <v>3.25</v>
      </c>
      <c r="B152" s="19" t="n">
        <v>4</v>
      </c>
      <c r="C152" s="18" t="n">
        <v>21.9</v>
      </c>
      <c r="D152" s="18" t="n">
        <v>-94.5</v>
      </c>
      <c r="E152" s="18" t="n">
        <v>65</v>
      </c>
      <c r="F152" s="35" t="n">
        <f aca="false">E152*0.5144</f>
        <v>33.436</v>
      </c>
      <c r="G152" s="22" t="e">
        <f aca="false">arclethnm(C151,D151,C152,D152)/6</f>
        <v>#NAME?</v>
      </c>
      <c r="H152" s="36" t="e">
        <f aca="false">G152*0.5144</f>
        <v>#NAME?</v>
      </c>
      <c r="I152" s="18" t="n">
        <v>983</v>
      </c>
      <c r="J152" s="18" t="n">
        <v>0</v>
      </c>
      <c r="K152" s="19" t="n">
        <f aca="false">B152-5.5</f>
        <v>-1.5</v>
      </c>
    </row>
    <row r="153" customFormat="false" ht="12.75" hidden="false" customHeight="false" outlineLevel="0" collapsed="false">
      <c r="A153" s="19" t="n">
        <f aca="false">B153-0.75</f>
        <v>3.5</v>
      </c>
      <c r="B153" s="19" t="n">
        <v>4.25</v>
      </c>
      <c r="C153" s="18" t="n">
        <v>22.5</v>
      </c>
      <c r="D153" s="18" t="n">
        <v>-94.7</v>
      </c>
      <c r="E153" s="18" t="n">
        <v>75</v>
      </c>
      <c r="F153" s="35" t="n">
        <f aca="false">E153*0.5144</f>
        <v>38.58</v>
      </c>
      <c r="G153" s="22" t="e">
        <f aca="false">arclethnm(C152,D152,C153,D153)/6</f>
        <v>#NAME?</v>
      </c>
      <c r="H153" s="36" t="e">
        <f aca="false">G153*0.5144</f>
        <v>#NAME?</v>
      </c>
      <c r="I153" s="18" t="n">
        <v>980</v>
      </c>
      <c r="J153" s="18" t="n">
        <v>0</v>
      </c>
      <c r="K153" s="19" t="n">
        <f aca="false">B153-5.5</f>
        <v>-1.25</v>
      </c>
    </row>
    <row r="154" customFormat="false" ht="12.75" hidden="false" customHeight="false" outlineLevel="0" collapsed="false">
      <c r="A154" s="19" t="n">
        <f aca="false">B154-0.75</f>
        <v>3.75</v>
      </c>
      <c r="B154" s="19" t="n">
        <v>4.5</v>
      </c>
      <c r="C154" s="18" t="n">
        <v>23.1</v>
      </c>
      <c r="D154" s="18" t="n">
        <v>-94.9</v>
      </c>
      <c r="E154" s="18" t="n">
        <v>80</v>
      </c>
      <c r="F154" s="35" t="n">
        <f aca="false">E154*0.5144</f>
        <v>41.152</v>
      </c>
      <c r="G154" s="22" t="e">
        <f aca="false">arclethnm(C153,D153,C154,D154)/6</f>
        <v>#NAME?</v>
      </c>
      <c r="H154" s="36" t="e">
        <f aca="false">G154*0.5144</f>
        <v>#NAME?</v>
      </c>
      <c r="I154" s="18" t="n">
        <v>979</v>
      </c>
      <c r="J154" s="18" t="n">
        <v>0</v>
      </c>
      <c r="K154" s="19" t="n">
        <f aca="false">B154-5.5</f>
        <v>-1</v>
      </c>
    </row>
    <row r="155" customFormat="false" ht="12.75" hidden="false" customHeight="false" outlineLevel="0" collapsed="false">
      <c r="A155" s="19" t="n">
        <f aca="false">B155-0.75</f>
        <v>4</v>
      </c>
      <c r="B155" s="19" t="n">
        <v>4.75</v>
      </c>
      <c r="C155" s="18" t="n">
        <v>23.8</v>
      </c>
      <c r="D155" s="18" t="n">
        <v>-95</v>
      </c>
      <c r="E155" s="18" t="n">
        <v>90</v>
      </c>
      <c r="F155" s="35" t="n">
        <f aca="false">E155*0.5144</f>
        <v>46.296</v>
      </c>
      <c r="G155" s="22" t="e">
        <f aca="false">arclethnm(C154,D154,C155,D155)/6</f>
        <v>#NAME?</v>
      </c>
      <c r="H155" s="36" t="e">
        <f aca="false">G155*0.5144</f>
        <v>#NAME?</v>
      </c>
      <c r="I155" s="18" t="n">
        <v>975</v>
      </c>
      <c r="J155" s="18" t="n">
        <v>0</v>
      </c>
      <c r="K155" s="19" t="n">
        <f aca="false">B155-5.5</f>
        <v>-0.75</v>
      </c>
    </row>
    <row r="156" customFormat="false" ht="12.75" hidden="false" customHeight="false" outlineLevel="0" collapsed="false">
      <c r="A156" s="19" t="n">
        <f aca="false">B156-0.75</f>
        <v>4.25</v>
      </c>
      <c r="B156" s="19" t="n">
        <v>5</v>
      </c>
      <c r="C156" s="18" t="n">
        <v>24.7</v>
      </c>
      <c r="D156" s="18" t="n">
        <v>-95.1</v>
      </c>
      <c r="E156" s="18" t="n">
        <v>120</v>
      </c>
      <c r="F156" s="35" t="n">
        <f aca="false">E156*0.5144</f>
        <v>61.728</v>
      </c>
      <c r="G156" s="22" t="e">
        <f aca="false">arclethnm(C155,D155,C156,D156)/6</f>
        <v>#NAME?</v>
      </c>
      <c r="H156" s="36" t="e">
        <f aca="false">G156*0.5144</f>
        <v>#NAME?</v>
      </c>
      <c r="I156" s="18" t="n">
        <v>954</v>
      </c>
      <c r="J156" s="18" t="n">
        <v>0</v>
      </c>
      <c r="K156" s="19" t="n">
        <f aca="false">B156-5.5</f>
        <v>-0.5</v>
      </c>
    </row>
    <row r="157" customFormat="false" ht="12.75" hidden="false" customHeight="false" outlineLevel="0" collapsed="false">
      <c r="A157" s="19" t="n">
        <f aca="false">B157-0.75</f>
        <v>4.5</v>
      </c>
      <c r="B157" s="19" t="n">
        <v>5.25</v>
      </c>
      <c r="C157" s="18" t="n">
        <v>25.5</v>
      </c>
      <c r="D157" s="18" t="n">
        <v>-95.5</v>
      </c>
      <c r="E157" s="18" t="n">
        <v>125</v>
      </c>
      <c r="F157" s="35" t="n">
        <f aca="false">E157*0.5144</f>
        <v>64.3</v>
      </c>
      <c r="G157" s="22" t="e">
        <f aca="false">arclethnm(C156,D156,C157,D157)/6</f>
        <v>#NAME?</v>
      </c>
      <c r="H157" s="36" t="e">
        <f aca="false">G157*0.5144</f>
        <v>#NAME?</v>
      </c>
      <c r="I157" s="18" t="n">
        <v>950</v>
      </c>
      <c r="J157" s="18" t="n">
        <v>0</v>
      </c>
      <c r="K157" s="19" t="n">
        <f aca="false">B157-5.5</f>
        <v>-0.25</v>
      </c>
    </row>
    <row r="158" customFormat="false" ht="12.75" hidden="false" customHeight="false" outlineLevel="0" collapsed="false">
      <c r="A158" s="19" t="n">
        <f aca="false">B158-0.75</f>
        <v>4.75</v>
      </c>
      <c r="B158" s="19" t="n">
        <v>5.5</v>
      </c>
      <c r="C158" s="18" t="n">
        <v>26.2</v>
      </c>
      <c r="D158" s="18" t="n">
        <v>-96.1</v>
      </c>
      <c r="E158" s="18" t="n">
        <v>125</v>
      </c>
      <c r="F158" s="35" t="n">
        <f aca="false">E158*0.5144</f>
        <v>64.3</v>
      </c>
      <c r="G158" s="22" t="e">
        <f aca="false">arclethnm(C157,D157,C158,D158)/6</f>
        <v>#NAME?</v>
      </c>
      <c r="H158" s="36" t="e">
        <f aca="false">G158*0.5144</f>
        <v>#NAME?</v>
      </c>
      <c r="I158" s="23" t="n">
        <v>944</v>
      </c>
      <c r="J158" s="18" t="n">
        <v>0</v>
      </c>
      <c r="K158" s="19" t="n">
        <v>0</v>
      </c>
    </row>
    <row r="159" customFormat="false" ht="12.75" hidden="false" customHeight="false" outlineLevel="0" collapsed="false">
      <c r="A159" s="19" t="n">
        <f aca="false">B159-0.75</f>
        <v>5</v>
      </c>
      <c r="B159" s="19" t="n">
        <v>5.75</v>
      </c>
      <c r="C159" s="18" t="n">
        <v>26.6</v>
      </c>
      <c r="D159" s="18" t="n">
        <v>-96.8</v>
      </c>
      <c r="E159" s="18" t="n">
        <v>120</v>
      </c>
      <c r="F159" s="35" t="n">
        <f aca="false">E159*0.5144</f>
        <v>61.728</v>
      </c>
      <c r="G159" s="22" t="e">
        <f aca="false">arclethnm(C158,D158,C159,D159)/6</f>
        <v>#NAME?</v>
      </c>
      <c r="H159" s="36" t="e">
        <f aca="false">G159*0.5144</f>
        <v>#NAME?</v>
      </c>
      <c r="I159" s="18" t="n">
        <v>946</v>
      </c>
      <c r="J159" s="18" t="n">
        <v>0</v>
      </c>
      <c r="K159" s="19" t="n">
        <f aca="false">B159-5.5</f>
        <v>0.25</v>
      </c>
    </row>
    <row r="160" customFormat="false" ht="12.75" hidden="false" customHeight="false" outlineLevel="0" collapsed="false">
      <c r="A160" s="19" t="n">
        <f aca="false">B160-0.75</f>
        <v>5.25</v>
      </c>
      <c r="B160" s="19" t="n">
        <v>6</v>
      </c>
      <c r="C160" s="18" t="n">
        <v>26.9</v>
      </c>
      <c r="D160" s="18" t="n">
        <v>-97.4</v>
      </c>
      <c r="E160" s="18" t="n">
        <v>100</v>
      </c>
      <c r="F160" s="35" t="n">
        <f aca="false">E160*0.5144</f>
        <v>51.44</v>
      </c>
      <c r="G160" s="22" t="e">
        <f aca="false">arclethnm(C159,D159,C160,D160)/6</f>
        <v>#NAME?</v>
      </c>
      <c r="H160" s="36" t="e">
        <f aca="false">G160*0.5144</f>
        <v>#NAME?</v>
      </c>
      <c r="I160" s="18" t="n">
        <v>951</v>
      </c>
      <c r="J160" s="18" t="n">
        <v>0</v>
      </c>
      <c r="K160" s="19" t="n">
        <f aca="false">B160-5.5</f>
        <v>0.5</v>
      </c>
    </row>
    <row r="161" customFormat="false" ht="12.75" hidden="false" customHeight="false" outlineLevel="0" collapsed="false">
      <c r="A161" s="19" t="n">
        <f aca="false">B161-0.75</f>
        <v>5.5</v>
      </c>
      <c r="B161" s="19" t="n">
        <v>6.25</v>
      </c>
      <c r="C161" s="18" t="n">
        <v>27</v>
      </c>
      <c r="D161" s="18" t="n">
        <v>-97.9</v>
      </c>
      <c r="E161" s="18" t="n">
        <v>80</v>
      </c>
      <c r="F161" s="35" t="n">
        <f aca="false">E161*0.5144</f>
        <v>41.152</v>
      </c>
      <c r="G161" s="22" t="e">
        <f aca="false">arclethnm(C160,D160,C161,D161)/6</f>
        <v>#NAME?</v>
      </c>
      <c r="H161" s="36" t="e">
        <f aca="false">G161*0.5144</f>
        <v>#NAME?</v>
      </c>
      <c r="I161" s="18" t="n">
        <v>963</v>
      </c>
      <c r="J161" s="18" t="n">
        <v>0</v>
      </c>
      <c r="K161" s="19" t="n">
        <f aca="false">B161-5.5</f>
        <v>0.75</v>
      </c>
    </row>
    <row r="162" customFormat="false" ht="12.75" hidden="false" customHeight="false" outlineLevel="0" collapsed="false">
      <c r="A162" s="19" t="n">
        <f aca="false">B162-0.75</f>
        <v>5.75</v>
      </c>
      <c r="B162" s="19" t="n">
        <v>6.5</v>
      </c>
      <c r="C162" s="18" t="n">
        <v>27.3</v>
      </c>
      <c r="D162" s="18" t="n">
        <v>-98.3</v>
      </c>
      <c r="E162" s="18" t="n">
        <v>60</v>
      </c>
      <c r="F162" s="35" t="n">
        <f aca="false">E162*0.5144</f>
        <v>30.864</v>
      </c>
      <c r="G162" s="22" t="e">
        <f aca="false">arclethnm(C161,D161,C162,D162)/6</f>
        <v>#NAME?</v>
      </c>
      <c r="H162" s="36" t="e">
        <f aca="false">G162*0.5144</f>
        <v>#NAME?</v>
      </c>
      <c r="I162" s="18" t="n">
        <v>980</v>
      </c>
      <c r="J162" s="18" t="n">
        <v>0</v>
      </c>
      <c r="K162" s="19" t="n">
        <f aca="false">B162-5.5</f>
        <v>1</v>
      </c>
    </row>
    <row r="163" customFormat="false" ht="12.75" hidden="false" customHeight="false" outlineLevel="0" collapsed="false">
      <c r="A163" s="19" t="n">
        <f aca="false">B163-0.75</f>
        <v>6</v>
      </c>
      <c r="B163" s="19" t="n">
        <v>6.75</v>
      </c>
      <c r="C163" s="18" t="n">
        <v>27.6</v>
      </c>
      <c r="D163" s="18" t="n">
        <v>-98.8</v>
      </c>
      <c r="E163" s="18" t="n">
        <v>35</v>
      </c>
      <c r="F163" s="35" t="n">
        <f aca="false">E163*0.5144</f>
        <v>18.004</v>
      </c>
      <c r="G163" s="22" t="e">
        <f aca="false">arclethnm(C162,D162,C163,D163)/6</f>
        <v>#NAME?</v>
      </c>
      <c r="H163" s="36" t="e">
        <f aca="false">G163*0.5144</f>
        <v>#NAME?</v>
      </c>
      <c r="I163" s="18" t="n">
        <v>993</v>
      </c>
      <c r="J163" s="18" t="n">
        <v>0</v>
      </c>
      <c r="K163" s="19" t="n">
        <f aca="false">B163-5.5</f>
        <v>1.25</v>
      </c>
    </row>
    <row r="164" customFormat="false" ht="12.75" hidden="false" customHeight="false" outlineLevel="0" collapsed="false">
      <c r="A164" s="19" t="n">
        <f aca="false">B164-0.75</f>
        <v>6.25</v>
      </c>
      <c r="B164" s="19" t="n">
        <v>7</v>
      </c>
      <c r="C164" s="18" t="n">
        <v>28</v>
      </c>
      <c r="D164" s="18" t="n">
        <v>-99.5</v>
      </c>
      <c r="E164" s="18" t="n">
        <v>30</v>
      </c>
      <c r="F164" s="35" t="n">
        <f aca="false">E164*0.5144</f>
        <v>15.432</v>
      </c>
      <c r="G164" s="22" t="e">
        <f aca="false">arclethnm(C163,D163,C164,D164)/6</f>
        <v>#NAME?</v>
      </c>
      <c r="H164" s="36" t="e">
        <f aca="false">G164*0.5144</f>
        <v>#NAME?</v>
      </c>
      <c r="I164" s="18" t="n">
        <v>1000</v>
      </c>
      <c r="J164" s="18" t="n">
        <v>0</v>
      </c>
      <c r="K164" s="19" t="n">
        <f aca="false">B164-5.5</f>
        <v>1.5</v>
      </c>
    </row>
    <row r="165" customFormat="false" ht="12.75" hidden="false" customHeight="false" outlineLevel="0" collapsed="false">
      <c r="A165" s="19" t="n">
        <f aca="false">B165-0.75</f>
        <v>6.5</v>
      </c>
      <c r="B165" s="19" t="n">
        <v>7.25</v>
      </c>
      <c r="C165" s="18" t="n">
        <v>28</v>
      </c>
      <c r="D165" s="18" t="n">
        <v>-100.4</v>
      </c>
      <c r="E165" s="18" t="n">
        <v>30</v>
      </c>
      <c r="F165" s="35" t="n">
        <f aca="false">E165*0.5144</f>
        <v>15.432</v>
      </c>
      <c r="G165" s="22" t="e">
        <f aca="false">arclethnm(C164,D164,C165,D165)/6</f>
        <v>#NAME?</v>
      </c>
      <c r="H165" s="36" t="e">
        <f aca="false">G165*0.5144</f>
        <v>#NAME?</v>
      </c>
      <c r="I165" s="18" t="n">
        <v>1003</v>
      </c>
      <c r="J165" s="18" t="n">
        <v>0</v>
      </c>
      <c r="K165" s="19" t="n">
        <f aca="false">B165-5.5</f>
        <v>1.75</v>
      </c>
    </row>
    <row r="166" customFormat="false" ht="12.75" hidden="false" customHeight="false" outlineLevel="0" collapsed="false">
      <c r="A166" s="19" t="n">
        <f aca="false">B166-0.75</f>
        <v>6.75</v>
      </c>
      <c r="B166" s="19" t="n">
        <v>7.5</v>
      </c>
      <c r="C166" s="18" t="n">
        <v>27.8</v>
      </c>
      <c r="D166" s="18" t="n">
        <v>-101.3</v>
      </c>
      <c r="E166" s="18" t="n">
        <v>25</v>
      </c>
      <c r="F166" s="35" t="n">
        <f aca="false">E166*0.5144</f>
        <v>12.86</v>
      </c>
      <c r="G166" s="22" t="e">
        <f aca="false">arclethnm(C165,D165,C166,D166)/6</f>
        <v>#NAME?</v>
      </c>
      <c r="H166" s="36" t="e">
        <f aca="false">G166*0.5144</f>
        <v>#NAME?</v>
      </c>
      <c r="I166" s="18" t="n">
        <v>1006</v>
      </c>
      <c r="J166" s="18" t="n">
        <v>0</v>
      </c>
      <c r="K166" s="19" t="n">
        <f aca="false">B166-5.5</f>
        <v>2</v>
      </c>
    </row>
    <row r="167" customFormat="false" ht="12.75" hidden="false" customHeight="false" outlineLevel="0" collapsed="false">
      <c r="A167" s="19" t="n">
        <f aca="false">B167-0.75</f>
        <v>7</v>
      </c>
      <c r="B167" s="19" t="n">
        <v>7.75</v>
      </c>
      <c r="C167" s="18" t="n">
        <v>27.7</v>
      </c>
      <c r="D167" s="18" t="n">
        <v>-102.1</v>
      </c>
      <c r="E167" s="18" t="n">
        <v>25</v>
      </c>
      <c r="F167" s="35" t="n">
        <f aca="false">E167*0.5144</f>
        <v>12.86</v>
      </c>
      <c r="G167" s="22" t="e">
        <f aca="false">arclethnm(C166,D166,C167,D167)/6</f>
        <v>#NAME?</v>
      </c>
      <c r="H167" s="36" t="e">
        <f aca="false">G167*0.5144</f>
        <v>#NAME?</v>
      </c>
      <c r="I167" s="18" t="n">
        <v>1007</v>
      </c>
      <c r="J167" s="0"/>
      <c r="K167" s="19" t="n">
        <f aca="false">B167-5.5</f>
        <v>2.25</v>
      </c>
    </row>
    <row r="168" customFormat="false" ht="12.75" hidden="false" customHeight="false" outlineLevel="0" collapsed="false">
      <c r="A168" s="19" t="n">
        <f aca="false">B168-0.75</f>
        <v>7.25</v>
      </c>
      <c r="B168" s="19" t="n">
        <v>8</v>
      </c>
      <c r="C168" s="18" t="n">
        <v>27.6</v>
      </c>
      <c r="D168" s="18" t="n">
        <v>-103</v>
      </c>
      <c r="E168" s="18" t="n">
        <v>20</v>
      </c>
      <c r="F168" s="35" t="n">
        <f aca="false">E168*0.5144</f>
        <v>10.288</v>
      </c>
      <c r="G168" s="22" t="e">
        <f aca="false">arclethnm(C167,D167,C168,D168)/6</f>
        <v>#NAME?</v>
      </c>
      <c r="H168" s="36" t="e">
        <f aca="false">G168*0.5144</f>
        <v>#NAME?</v>
      </c>
      <c r="I168" s="18" t="n">
        <v>1008</v>
      </c>
      <c r="J168" s="0"/>
      <c r="K168" s="19" t="n">
        <f aca="false">B168-5.5</f>
        <v>2.5</v>
      </c>
    </row>
    <row r="169" customFormat="false" ht="12.75" hidden="false" customHeight="false" outlineLevel="0" collapsed="false">
      <c r="A169" s="0"/>
      <c r="B169" s="0"/>
      <c r="C169" s="0"/>
      <c r="D169" s="0"/>
      <c r="E169" s="0"/>
      <c r="F169" s="0"/>
      <c r="G169" s="22"/>
      <c r="H169" s="36"/>
      <c r="I169" s="0"/>
      <c r="J169" s="0"/>
      <c r="K169" s="0"/>
    </row>
    <row r="170" customFormat="false" ht="12.75" hidden="false" customHeight="false" outlineLevel="0" collapsed="false">
      <c r="A170" s="0"/>
      <c r="B170" s="20" t="s">
        <v>159</v>
      </c>
      <c r="C170" s="20"/>
      <c r="D170" s="20"/>
      <c r="E170" s="20" t="s">
        <v>48</v>
      </c>
      <c r="F170" s="0"/>
      <c r="G170" s="22"/>
      <c r="H170" s="36"/>
      <c r="I170" s="0"/>
      <c r="J170" s="0"/>
      <c r="K170" s="0"/>
    </row>
    <row r="171" customFormat="false" ht="12.75" hidden="false" customHeight="false" outlineLevel="0" collapsed="false">
      <c r="A171" s="34" t="n">
        <v>1</v>
      </c>
      <c r="B171" s="34" t="n">
        <v>1</v>
      </c>
      <c r="C171" s="18" t="n">
        <v>11.1</v>
      </c>
      <c r="D171" s="18" t="n">
        <v>-53.5</v>
      </c>
      <c r="E171" s="19" t="n">
        <v>25</v>
      </c>
      <c r="F171" s="35" t="n">
        <f aca="false">E171*0.5144</f>
        <v>12.86</v>
      </c>
      <c r="G171" s="22"/>
      <c r="H171" s="36"/>
      <c r="I171" s="19" t="n">
        <v>1010</v>
      </c>
      <c r="J171" s="18" t="n">
        <v>30</v>
      </c>
      <c r="K171" s="19" t="n">
        <f aca="false">B171-9.64</f>
        <v>-8.64</v>
      </c>
    </row>
    <row r="172" customFormat="false" ht="12.75" hidden="false" customHeight="false" outlineLevel="0" collapsed="false">
      <c r="A172" s="34" t="n">
        <v>1.25</v>
      </c>
      <c r="B172" s="34" t="n">
        <v>1.25</v>
      </c>
      <c r="C172" s="18" t="n">
        <v>11.8</v>
      </c>
      <c r="D172" s="18" t="n">
        <v>-55.3</v>
      </c>
      <c r="E172" s="19" t="n">
        <v>30</v>
      </c>
      <c r="F172" s="35" t="n">
        <f aca="false">E172*0.5144</f>
        <v>15.432</v>
      </c>
      <c r="G172" s="22" t="e">
        <f aca="false">arclethnm(C171,D171,C172,D172)/6</f>
        <v>#NAME?</v>
      </c>
      <c r="H172" s="36" t="e">
        <f aca="false">G172*0.5144</f>
        <v>#NAME?</v>
      </c>
      <c r="I172" s="19" t="n">
        <v>1010</v>
      </c>
      <c r="J172" s="18" t="n">
        <v>30</v>
      </c>
      <c r="K172" s="19" t="n">
        <f aca="false">B172-9.64</f>
        <v>-8.39</v>
      </c>
    </row>
    <row r="173" customFormat="false" ht="12.75" hidden="false" customHeight="false" outlineLevel="0" collapsed="false">
      <c r="A173" s="34" t="n">
        <v>1.5</v>
      </c>
      <c r="B173" s="34" t="n">
        <v>1.5</v>
      </c>
      <c r="C173" s="18" t="n">
        <v>12.6</v>
      </c>
      <c r="D173" s="18" t="n">
        <v>-57.5</v>
      </c>
      <c r="E173" s="19" t="n">
        <v>30</v>
      </c>
      <c r="F173" s="35" t="n">
        <f aca="false">E173*0.5144</f>
        <v>15.432</v>
      </c>
      <c r="G173" s="22" t="e">
        <f aca="false">arclethnm(C172,D172,C173,D173)/6</f>
        <v>#NAME?</v>
      </c>
      <c r="H173" s="36" t="e">
        <f aca="false">G173*0.5144</f>
        <v>#NAME?</v>
      </c>
      <c r="I173" s="19" t="n">
        <v>1010</v>
      </c>
      <c r="J173" s="18" t="n">
        <v>30</v>
      </c>
      <c r="K173" s="19" t="n">
        <f aca="false">B173-9.64</f>
        <v>-8.14</v>
      </c>
    </row>
    <row r="174" customFormat="false" ht="12.75" hidden="false" customHeight="false" outlineLevel="0" collapsed="false">
      <c r="A174" s="34" t="n">
        <v>1.75</v>
      </c>
      <c r="B174" s="34" t="n">
        <v>1.75</v>
      </c>
      <c r="C174" s="18" t="n">
        <v>13.2</v>
      </c>
      <c r="D174" s="18" t="n">
        <v>-59.8</v>
      </c>
      <c r="E174" s="19" t="n">
        <v>35</v>
      </c>
      <c r="F174" s="35" t="n">
        <f aca="false">E174*0.5144</f>
        <v>18.004</v>
      </c>
      <c r="G174" s="22" t="e">
        <f aca="false">arclethnm(C173,D173,C174,D174)/6</f>
        <v>#NAME?</v>
      </c>
      <c r="H174" s="36" t="e">
        <f aca="false">G174*0.5144</f>
        <v>#NAME?</v>
      </c>
      <c r="I174" s="19" t="n">
        <v>1010</v>
      </c>
      <c r="J174" s="18" t="n">
        <v>30</v>
      </c>
      <c r="K174" s="19" t="n">
        <f aca="false">B174-9.64</f>
        <v>-7.89</v>
      </c>
    </row>
    <row r="175" customFormat="false" ht="12.75" hidden="false" customHeight="false" outlineLevel="0" collapsed="false">
      <c r="A175" s="34" t="n">
        <v>2</v>
      </c>
      <c r="B175" s="34" t="n">
        <v>2</v>
      </c>
      <c r="C175" s="18" t="n">
        <v>13.7</v>
      </c>
      <c r="D175" s="18" t="n">
        <v>-62</v>
      </c>
      <c r="E175" s="19" t="n">
        <v>35</v>
      </c>
      <c r="F175" s="35" t="n">
        <f aca="false">E175*0.5144</f>
        <v>18.004</v>
      </c>
      <c r="G175" s="22" t="e">
        <f aca="false">arclethnm(C174,D174,C175,D175)/6</f>
        <v>#NAME?</v>
      </c>
      <c r="H175" s="36" t="e">
        <f aca="false">G175*0.5144</f>
        <v>#NAME?</v>
      </c>
      <c r="I175" s="19" t="n">
        <v>1009</v>
      </c>
      <c r="J175" s="18" t="n">
        <v>30</v>
      </c>
      <c r="K175" s="19" t="n">
        <f aca="false">B175-9.64</f>
        <v>-7.64</v>
      </c>
    </row>
    <row r="176" customFormat="false" ht="12.8" hidden="false" customHeight="false" outlineLevel="0" collapsed="false">
      <c r="A176" s="34" t="n">
        <v>2.25</v>
      </c>
      <c r="B176" s="34" t="n">
        <v>2.25</v>
      </c>
      <c r="C176" s="18" t="n">
        <v>14</v>
      </c>
      <c r="D176" s="18" t="n">
        <v>-64.8</v>
      </c>
      <c r="E176" s="19" t="n">
        <v>40</v>
      </c>
      <c r="F176" s="35" t="n">
        <f aca="false">E176*0.5144</f>
        <v>20.576</v>
      </c>
      <c r="G176" s="22" t="e">
        <f aca="false">arclethnm(C175,D175,C176,D176)/6</f>
        <v>#NAME?</v>
      </c>
      <c r="H176" s="36" t="e">
        <f aca="false">G176*0.5144</f>
        <v>#NAME?</v>
      </c>
      <c r="I176" s="19" t="n">
        <v>1009</v>
      </c>
      <c r="J176" s="18" t="n">
        <v>0</v>
      </c>
      <c r="K176" s="19" t="n">
        <f aca="false">B176-9.64</f>
        <v>-7.39</v>
      </c>
    </row>
    <row r="177" customFormat="false" ht="24.45" hidden="false" customHeight="false" outlineLevel="0" collapsed="false">
      <c r="A177" s="34" t="n">
        <v>2.5</v>
      </c>
      <c r="B177" s="34" t="n">
        <v>2.5</v>
      </c>
      <c r="C177" s="18" t="n">
        <v>14.4</v>
      </c>
      <c r="D177" s="18" t="n">
        <v>-67.6</v>
      </c>
      <c r="E177" s="19" t="n">
        <v>40</v>
      </c>
      <c r="F177" s="35" t="n">
        <f aca="false">E177*0.5144</f>
        <v>20.576</v>
      </c>
      <c r="G177" s="22" t="e">
        <f aca="false">arclethnm(C176,D176,C177,D177)/6</f>
        <v>#NAME?</v>
      </c>
      <c r="H177" s="36" t="e">
        <f aca="false">G177*0.5144</f>
        <v>#NAME?</v>
      </c>
      <c r="I177" s="19" t="n">
        <v>1009</v>
      </c>
      <c r="J177" s="18" t="n">
        <v>30</v>
      </c>
      <c r="K177" s="19" t="n">
        <f aca="false">B177-9.64</f>
        <v>-7.14</v>
      </c>
    </row>
    <row r="178" customFormat="false" ht="23.75" hidden="false" customHeight="false" outlineLevel="0" collapsed="false">
      <c r="A178" s="34" t="n">
        <v>2.75</v>
      </c>
      <c r="B178" s="34" t="n">
        <v>2.75</v>
      </c>
      <c r="C178" s="18" t="n">
        <v>14.8</v>
      </c>
      <c r="D178" s="18" t="n">
        <v>-70</v>
      </c>
      <c r="E178" s="19" t="n">
        <v>45</v>
      </c>
      <c r="F178" s="35" t="n">
        <f aca="false">E178*0.5144</f>
        <v>23.148</v>
      </c>
      <c r="G178" s="22" t="e">
        <f aca="false">arclethnm(C177,D177,C178,D178)/6</f>
        <v>#NAME?</v>
      </c>
      <c r="H178" s="36" t="e">
        <f aca="false">G178*0.5144</f>
        <v>#NAME?</v>
      </c>
      <c r="I178" s="19" t="n">
        <v>1006</v>
      </c>
      <c r="J178" s="18" t="n">
        <v>20</v>
      </c>
      <c r="K178" s="19" t="n">
        <f aca="false">B178-9.64</f>
        <v>-6.89</v>
      </c>
    </row>
    <row r="179" customFormat="false" ht="24.45" hidden="false" customHeight="false" outlineLevel="0" collapsed="false">
      <c r="A179" s="34" t="n">
        <v>3</v>
      </c>
      <c r="B179" s="34" t="n">
        <v>3</v>
      </c>
      <c r="C179" s="18" t="n">
        <v>15</v>
      </c>
      <c r="D179" s="18" t="n">
        <v>-72</v>
      </c>
      <c r="E179" s="19" t="n">
        <v>50</v>
      </c>
      <c r="F179" s="35" t="n">
        <f aca="false">E179*0.5144</f>
        <v>25.72</v>
      </c>
      <c r="G179" s="22" t="e">
        <f aca="false">arclethnm(C178,D178,C179,D179)/6</f>
        <v>#NAME?</v>
      </c>
      <c r="H179" s="36" t="e">
        <f aca="false">G179*0.5144</f>
        <v>#NAME?</v>
      </c>
      <c r="I179" s="19" t="n">
        <v>1001</v>
      </c>
      <c r="J179" s="18" t="n">
        <v>20</v>
      </c>
      <c r="K179" s="19" t="n">
        <f aca="false">B179-9.64</f>
        <v>-6.64</v>
      </c>
    </row>
    <row r="180" customFormat="false" ht="12.75" hidden="false" customHeight="false" outlineLevel="0" collapsed="false">
      <c r="A180" s="34" t="n">
        <v>3.25</v>
      </c>
      <c r="B180" s="34" t="n">
        <v>3.25</v>
      </c>
      <c r="C180" s="18" t="n">
        <v>15.1</v>
      </c>
      <c r="D180" s="18" t="n">
        <v>-74.4</v>
      </c>
      <c r="E180" s="19" t="n">
        <v>60</v>
      </c>
      <c r="F180" s="35" t="n">
        <f aca="false">E180*0.5144</f>
        <v>30.864</v>
      </c>
      <c r="G180" s="22" t="e">
        <f aca="false">arclethnm(C179,D179,C180,D180)/6</f>
        <v>#NAME?</v>
      </c>
      <c r="H180" s="36" t="e">
        <f aca="false">G180*0.5144</f>
        <v>#NAME?</v>
      </c>
      <c r="I180" s="19" t="n">
        <v>1003</v>
      </c>
      <c r="J180" s="18" t="n">
        <v>20</v>
      </c>
      <c r="K180" s="19" t="n">
        <f aca="false">B180-9.64</f>
        <v>-6.39</v>
      </c>
    </row>
    <row r="181" customFormat="false" ht="12.75" hidden="false" customHeight="false" outlineLevel="0" collapsed="false">
      <c r="A181" s="34" t="n">
        <v>3.5</v>
      </c>
      <c r="B181" s="34" t="n">
        <v>3.5</v>
      </c>
      <c r="C181" s="18" t="n">
        <v>15.3</v>
      </c>
      <c r="D181" s="18" t="n">
        <v>-76.5</v>
      </c>
      <c r="E181" s="19" t="n">
        <v>55</v>
      </c>
      <c r="F181" s="35" t="n">
        <f aca="false">E181*0.5144</f>
        <v>28.292</v>
      </c>
      <c r="G181" s="22" t="e">
        <f aca="false">arclethnm(C180,D180,C181,D181)/6</f>
        <v>#NAME?</v>
      </c>
      <c r="H181" s="36" t="e">
        <f aca="false">G181*0.5144</f>
        <v>#NAME?</v>
      </c>
      <c r="I181" s="19" t="n">
        <v>1004</v>
      </c>
      <c r="J181" s="18" t="n">
        <v>25</v>
      </c>
      <c r="K181" s="19" t="n">
        <f aca="false">B181-9.64</f>
        <v>-6.14</v>
      </c>
    </row>
    <row r="182" customFormat="false" ht="12.75" hidden="false" customHeight="false" outlineLevel="0" collapsed="false">
      <c r="A182" s="34" t="n">
        <v>3.75</v>
      </c>
      <c r="B182" s="34" t="n">
        <v>3.75</v>
      </c>
      <c r="C182" s="18" t="n">
        <v>15.8</v>
      </c>
      <c r="D182" s="18" t="n">
        <v>-78.6</v>
      </c>
      <c r="E182" s="19" t="n">
        <v>55</v>
      </c>
      <c r="F182" s="35" t="n">
        <f aca="false">E182*0.5144</f>
        <v>28.292</v>
      </c>
      <c r="G182" s="22" t="e">
        <f aca="false">arclethnm(C181,D181,C182,D182)/6</f>
        <v>#NAME?</v>
      </c>
      <c r="H182" s="36" t="e">
        <f aca="false">G182*0.5144</f>
        <v>#NAME?</v>
      </c>
      <c r="I182" s="19" t="n">
        <v>1002</v>
      </c>
      <c r="J182" s="18" t="n">
        <v>20</v>
      </c>
      <c r="K182" s="19" t="n">
        <f aca="false">B182-9.64</f>
        <v>-5.89</v>
      </c>
    </row>
    <row r="183" customFormat="false" ht="12.75" hidden="false" customHeight="false" outlineLevel="0" collapsed="false">
      <c r="A183" s="34" t="n">
        <v>4</v>
      </c>
      <c r="B183" s="34" t="n">
        <v>4</v>
      </c>
      <c r="C183" s="18" t="n">
        <v>16.1</v>
      </c>
      <c r="D183" s="18" t="n">
        <v>-80.3</v>
      </c>
      <c r="E183" s="19" t="n">
        <v>55</v>
      </c>
      <c r="F183" s="35" t="n">
        <f aca="false">E183*0.5144</f>
        <v>28.292</v>
      </c>
      <c r="G183" s="22" t="e">
        <f aca="false">arclethnm(C182,D182,C183,D183)/6</f>
        <v>#NAME?</v>
      </c>
      <c r="H183" s="36" t="e">
        <f aca="false">G183*0.5144</f>
        <v>#NAME?</v>
      </c>
      <c r="I183" s="19" t="n">
        <v>1002</v>
      </c>
      <c r="J183" s="18" t="n">
        <v>20</v>
      </c>
      <c r="K183" s="19" t="n">
        <f aca="false">B183-9.64</f>
        <v>-5.64</v>
      </c>
    </row>
    <row r="184" customFormat="false" ht="12.75" hidden="false" customHeight="false" outlineLevel="0" collapsed="false">
      <c r="A184" s="34" t="n">
        <v>4.25</v>
      </c>
      <c r="B184" s="34" t="n">
        <v>4.25</v>
      </c>
      <c r="C184" s="18" t="n">
        <v>16.6</v>
      </c>
      <c r="D184" s="18" t="n">
        <v>-81.7</v>
      </c>
      <c r="E184" s="19" t="n">
        <v>55</v>
      </c>
      <c r="F184" s="35" t="n">
        <f aca="false">E184*0.5144</f>
        <v>28.292</v>
      </c>
      <c r="G184" s="22" t="e">
        <f aca="false">arclethnm(C183,D183,C184,D184)/6</f>
        <v>#NAME?</v>
      </c>
      <c r="H184" s="36" t="e">
        <f aca="false">G184*0.5144</f>
        <v>#NAME?</v>
      </c>
      <c r="I184" s="19" t="n">
        <v>998</v>
      </c>
      <c r="J184" s="18" t="n">
        <v>25</v>
      </c>
      <c r="K184" s="19" t="n">
        <f aca="false">B184-9.64</f>
        <v>-5.39</v>
      </c>
    </row>
    <row r="185" customFormat="false" ht="12.75" hidden="false" customHeight="false" outlineLevel="0" collapsed="false">
      <c r="A185" s="34" t="n">
        <v>4.5</v>
      </c>
      <c r="B185" s="34" t="n">
        <v>4.5</v>
      </c>
      <c r="C185" s="18" t="n">
        <v>17.5</v>
      </c>
      <c r="D185" s="18" t="n">
        <v>-82.8</v>
      </c>
      <c r="E185" s="19" t="n">
        <v>70</v>
      </c>
      <c r="F185" s="35" t="n">
        <f aca="false">E185*0.5144</f>
        <v>36.008</v>
      </c>
      <c r="G185" s="22" t="e">
        <f aca="false">arclethnm(C184,D184,C185,D185)/6</f>
        <v>#NAME?</v>
      </c>
      <c r="H185" s="36" t="e">
        <f aca="false">G185*0.5144</f>
        <v>#NAME?</v>
      </c>
      <c r="I185" s="19" t="n">
        <v>988</v>
      </c>
      <c r="J185" s="18" t="n">
        <v>10</v>
      </c>
      <c r="K185" s="19" t="n">
        <f aca="false">B185-9.64</f>
        <v>-5.14</v>
      </c>
    </row>
    <row r="186" customFormat="false" ht="12.75" hidden="false" customHeight="false" outlineLevel="0" collapsed="false">
      <c r="A186" s="34" t="n">
        <v>4.75</v>
      </c>
      <c r="B186" s="34" t="n">
        <v>4.75</v>
      </c>
      <c r="C186" s="18" t="n">
        <v>18.6</v>
      </c>
      <c r="D186" s="18" t="n">
        <v>-84.1</v>
      </c>
      <c r="E186" s="19" t="n">
        <v>55</v>
      </c>
      <c r="F186" s="35" t="n">
        <f aca="false">E186*0.5144</f>
        <v>28.292</v>
      </c>
      <c r="G186" s="22" t="e">
        <f aca="false">arclethnm(C185,D185,C186,D186)/6</f>
        <v>#NAME?</v>
      </c>
      <c r="H186" s="36" t="e">
        <f aca="false">G186*0.5144</f>
        <v>#NAME?</v>
      </c>
      <c r="I186" s="19" t="n">
        <v>1003</v>
      </c>
      <c r="J186" s="18" t="n">
        <v>10</v>
      </c>
      <c r="K186" s="19" t="n">
        <f aca="false">B186-9.64</f>
        <v>-4.89</v>
      </c>
    </row>
    <row r="187" customFormat="false" ht="12.75" hidden="false" customHeight="false" outlineLevel="0" collapsed="false">
      <c r="A187" s="34" t="n">
        <v>5</v>
      </c>
      <c r="B187" s="34" t="n">
        <v>5</v>
      </c>
      <c r="C187" s="18" t="n">
        <v>19.7</v>
      </c>
      <c r="D187" s="18" t="n">
        <v>-85.5</v>
      </c>
      <c r="E187" s="19" t="n">
        <v>50</v>
      </c>
      <c r="F187" s="35" t="n">
        <f aca="false">E187*0.5144</f>
        <v>25.72</v>
      </c>
      <c r="G187" s="22" t="e">
        <f aca="false">arclethnm(C186,D186,C187,D187)/6</f>
        <v>#NAME?</v>
      </c>
      <c r="H187" s="36" t="e">
        <f aca="false">G187*0.5144</f>
        <v>#NAME?</v>
      </c>
      <c r="I187" s="19" t="n">
        <v>1010</v>
      </c>
      <c r="J187" s="18" t="n">
        <v>10</v>
      </c>
      <c r="K187" s="19" t="n">
        <f aca="false">B187-9.64</f>
        <v>-4.64</v>
      </c>
    </row>
    <row r="188" customFormat="false" ht="12.75" hidden="false" customHeight="false" outlineLevel="0" collapsed="false">
      <c r="A188" s="34" t="n">
        <v>5.25</v>
      </c>
      <c r="B188" s="34" t="n">
        <v>5.25</v>
      </c>
      <c r="C188" s="18" t="n">
        <v>20.4</v>
      </c>
      <c r="D188" s="18" t="n">
        <v>-86.3</v>
      </c>
      <c r="E188" s="19" t="n">
        <v>50</v>
      </c>
      <c r="F188" s="35" t="n">
        <f aca="false">E188*0.5144</f>
        <v>25.72</v>
      </c>
      <c r="G188" s="22" t="e">
        <f aca="false">arclethnm(C187,D187,C188,D188)/6</f>
        <v>#NAME?</v>
      </c>
      <c r="H188" s="36" t="e">
        <f aca="false">G188*0.5144</f>
        <v>#NAME?</v>
      </c>
      <c r="I188" s="19" t="n">
        <v>1009</v>
      </c>
      <c r="J188" s="18" t="n">
        <v>10</v>
      </c>
      <c r="K188" s="19" t="n">
        <f aca="false">B188-9.64</f>
        <v>-4.39</v>
      </c>
    </row>
    <row r="189" customFormat="false" ht="12.75" hidden="false" customHeight="false" outlineLevel="0" collapsed="false">
      <c r="A189" s="34" t="n">
        <v>5.42</v>
      </c>
      <c r="B189" s="34" t="n">
        <v>5.42</v>
      </c>
      <c r="C189" s="18" t="n">
        <v>20.8</v>
      </c>
      <c r="D189" s="18" t="n">
        <v>-86.9</v>
      </c>
      <c r="E189" s="19" t="n">
        <v>50</v>
      </c>
      <c r="F189" s="35" t="n">
        <f aca="false">E189*0.5144</f>
        <v>25.72</v>
      </c>
      <c r="G189" s="22" t="e">
        <f aca="false">arclethnm(C188,D188,C189,D189)/6</f>
        <v>#NAME?</v>
      </c>
      <c r="H189" s="36" t="e">
        <f aca="false">G189*0.5144</f>
        <v>#NAME?</v>
      </c>
      <c r="I189" s="19" t="n">
        <v>1009</v>
      </c>
      <c r="J189" s="18" t="n">
        <v>-999</v>
      </c>
      <c r="K189" s="19" t="n">
        <f aca="false">B189-9.64</f>
        <v>-4.22</v>
      </c>
    </row>
    <row r="190" customFormat="false" ht="12.75" hidden="false" customHeight="false" outlineLevel="0" collapsed="false">
      <c r="A190" s="34" t="n">
        <v>5.5</v>
      </c>
      <c r="B190" s="34" t="n">
        <v>5.5</v>
      </c>
      <c r="C190" s="18" t="n">
        <v>21.1</v>
      </c>
      <c r="D190" s="18" t="n">
        <v>-87.2</v>
      </c>
      <c r="E190" s="19" t="n">
        <v>50</v>
      </c>
      <c r="F190" s="35" t="n">
        <f aca="false">E190*0.5144</f>
        <v>25.72</v>
      </c>
      <c r="G190" s="22" t="e">
        <f aca="false">arclethnm(C189,D189,C190,D190)/6</f>
        <v>#NAME?</v>
      </c>
      <c r="H190" s="36" t="e">
        <f aca="false">G190*0.5144</f>
        <v>#NAME?</v>
      </c>
      <c r="I190" s="19" t="n">
        <v>1009</v>
      </c>
      <c r="J190" s="18" t="n">
        <v>20</v>
      </c>
      <c r="K190" s="19" t="n">
        <f aca="false">B190-9.64</f>
        <v>-4.14</v>
      </c>
    </row>
    <row r="191" customFormat="false" ht="12.75" hidden="false" customHeight="false" outlineLevel="0" collapsed="false">
      <c r="A191" s="34" t="n">
        <v>5.75</v>
      </c>
      <c r="B191" s="34" t="n">
        <v>5.75</v>
      </c>
      <c r="C191" s="18" t="n">
        <v>21.8</v>
      </c>
      <c r="D191" s="18" t="n">
        <v>-88.2</v>
      </c>
      <c r="E191" s="19" t="n">
        <v>45</v>
      </c>
      <c r="F191" s="35" t="n">
        <f aca="false">E191*0.5144</f>
        <v>23.148</v>
      </c>
      <c r="G191" s="22" t="e">
        <f aca="false">arclethnm(C190,D190,C191,D191)/6</f>
        <v>#NAME?</v>
      </c>
      <c r="H191" s="36" t="e">
        <f aca="false">G191*0.5144</f>
        <v>#NAME?</v>
      </c>
      <c r="I191" s="19" t="n">
        <v>1009</v>
      </c>
      <c r="J191" s="18" t="n">
        <v>40</v>
      </c>
      <c r="K191" s="19" t="n">
        <f aca="false">B191-9.64</f>
        <v>-3.89</v>
      </c>
    </row>
    <row r="192" customFormat="false" ht="12.75" hidden="false" customHeight="false" outlineLevel="0" collapsed="false">
      <c r="A192" s="34" t="n">
        <v>6</v>
      </c>
      <c r="B192" s="34" t="n">
        <v>6</v>
      </c>
      <c r="C192" s="18" t="n">
        <v>22.6</v>
      </c>
      <c r="D192" s="18" t="n">
        <v>-89.2</v>
      </c>
      <c r="E192" s="19" t="n">
        <v>45</v>
      </c>
      <c r="F192" s="35" t="n">
        <f aca="false">E192*0.5144</f>
        <v>23.148</v>
      </c>
      <c r="G192" s="22" t="e">
        <f aca="false">arclethnm(C191,D191,C192,D192)/6</f>
        <v>#NAME?</v>
      </c>
      <c r="H192" s="36" t="e">
        <f aca="false">G192*0.5144</f>
        <v>#NAME?</v>
      </c>
      <c r="I192" s="19" t="n">
        <v>1008</v>
      </c>
      <c r="J192" s="18" t="n">
        <v>40</v>
      </c>
      <c r="K192" s="19" t="n">
        <f aca="false">B192-9.64</f>
        <v>-3.64</v>
      </c>
    </row>
    <row r="193" customFormat="false" ht="12.75" hidden="false" customHeight="false" outlineLevel="0" collapsed="false">
      <c r="A193" s="34" t="n">
        <v>6.25</v>
      </c>
      <c r="B193" s="34" t="n">
        <v>6.25</v>
      </c>
      <c r="C193" s="18" t="n">
        <v>23.3</v>
      </c>
      <c r="D193" s="18" t="n">
        <v>-90.2</v>
      </c>
      <c r="E193" s="19" t="n">
        <v>45</v>
      </c>
      <c r="F193" s="35" t="n">
        <f aca="false">E193*0.5144</f>
        <v>23.148</v>
      </c>
      <c r="G193" s="22" t="e">
        <f aca="false">arclethnm(C192,D192,C193,D193)/6</f>
        <v>#NAME?</v>
      </c>
      <c r="H193" s="36" t="e">
        <f aca="false">G193*0.5144</f>
        <v>#NAME?</v>
      </c>
      <c r="I193" s="19" t="n">
        <v>1007</v>
      </c>
      <c r="J193" s="18" t="n">
        <v>50</v>
      </c>
      <c r="K193" s="19" t="n">
        <f aca="false">B193-9.64</f>
        <v>-3.39</v>
      </c>
    </row>
    <row r="194" customFormat="false" ht="12.75" hidden="false" customHeight="false" outlineLevel="0" collapsed="false">
      <c r="A194" s="34" t="n">
        <v>6.5</v>
      </c>
      <c r="B194" s="34" t="n">
        <v>6.5</v>
      </c>
      <c r="C194" s="18" t="n">
        <v>23.9</v>
      </c>
      <c r="D194" s="18" t="n">
        <v>-90.7</v>
      </c>
      <c r="E194" s="19" t="n">
        <v>45</v>
      </c>
      <c r="F194" s="35" t="n">
        <f aca="false">E194*0.5144</f>
        <v>23.148</v>
      </c>
      <c r="G194" s="22" t="e">
        <f aca="false">arclethnm(C193,D193,C194,D194)/6</f>
        <v>#NAME?</v>
      </c>
      <c r="H194" s="36" t="e">
        <f aca="false">G194*0.5144</f>
        <v>#NAME?</v>
      </c>
      <c r="I194" s="19" t="n">
        <v>1006</v>
      </c>
      <c r="J194" s="18" t="n">
        <v>50</v>
      </c>
      <c r="K194" s="19" t="n">
        <f aca="false">B194-9.64</f>
        <v>-3.14</v>
      </c>
    </row>
    <row r="195" customFormat="false" ht="12.75" hidden="false" customHeight="false" outlineLevel="0" collapsed="false">
      <c r="A195" s="34" t="n">
        <v>6.75</v>
      </c>
      <c r="B195" s="34" t="n">
        <v>6.75</v>
      </c>
      <c r="C195" s="18" t="n">
        <v>24.6</v>
      </c>
      <c r="D195" s="18" t="n">
        <v>-90.9</v>
      </c>
      <c r="E195" s="19" t="n">
        <v>45</v>
      </c>
      <c r="F195" s="35" t="n">
        <f aca="false">E195*0.5144</f>
        <v>23.148</v>
      </c>
      <c r="G195" s="22" t="e">
        <f aca="false">arclethnm(C194,D194,C195,D195)/6</f>
        <v>#NAME?</v>
      </c>
      <c r="H195" s="36" t="e">
        <f aca="false">G195*0.5144</f>
        <v>#NAME?</v>
      </c>
      <c r="I195" s="19" t="n">
        <v>1008</v>
      </c>
      <c r="J195" s="18" t="n">
        <v>50</v>
      </c>
      <c r="K195" s="19" t="n">
        <f aca="false">B195-9.64</f>
        <v>-2.89</v>
      </c>
    </row>
    <row r="196" customFormat="false" ht="12.75" hidden="false" customHeight="false" outlineLevel="0" collapsed="false">
      <c r="A196" s="34" t="n">
        <v>7</v>
      </c>
      <c r="B196" s="34" t="n">
        <v>7</v>
      </c>
      <c r="C196" s="18" t="n">
        <v>24.9</v>
      </c>
      <c r="D196" s="18" t="n">
        <v>-91.5</v>
      </c>
      <c r="E196" s="19" t="n">
        <v>45</v>
      </c>
      <c r="F196" s="35" t="n">
        <f aca="false">E196*0.5144</f>
        <v>23.148</v>
      </c>
      <c r="G196" s="22" t="e">
        <f aca="false">arclethnm(C195,D195,C196,D196)/6</f>
        <v>#NAME?</v>
      </c>
      <c r="H196" s="36" t="e">
        <f aca="false">G196*0.5144</f>
        <v>#NAME?</v>
      </c>
      <c r="I196" s="19" t="n">
        <v>1003</v>
      </c>
      <c r="J196" s="18" t="n">
        <v>50</v>
      </c>
      <c r="K196" s="19" t="n">
        <f aca="false">B196-9.64</f>
        <v>-2.64</v>
      </c>
    </row>
    <row r="197" customFormat="false" ht="12.75" hidden="false" customHeight="false" outlineLevel="0" collapsed="false">
      <c r="A197" s="34" t="n">
        <v>7.25</v>
      </c>
      <c r="B197" s="34" t="n">
        <v>7.25</v>
      </c>
      <c r="C197" s="18" t="n">
        <v>24.9</v>
      </c>
      <c r="D197" s="18" t="n">
        <v>-91.9</v>
      </c>
      <c r="E197" s="19" t="n">
        <v>45</v>
      </c>
      <c r="F197" s="35" t="n">
        <f aca="false">E197*0.5144</f>
        <v>23.148</v>
      </c>
      <c r="G197" s="22" t="e">
        <f aca="false">arclethnm(C196,D196,C197,D197)/6</f>
        <v>#NAME?</v>
      </c>
      <c r="H197" s="36" t="e">
        <f aca="false">G197*0.5144</f>
        <v>#NAME?</v>
      </c>
      <c r="I197" s="19" t="n">
        <v>1005</v>
      </c>
      <c r="J197" s="18" t="n">
        <v>50</v>
      </c>
      <c r="K197" s="19" t="n">
        <f aca="false">B197-9.64</f>
        <v>-2.39</v>
      </c>
    </row>
    <row r="198" customFormat="false" ht="12.75" hidden="false" customHeight="false" outlineLevel="0" collapsed="false">
      <c r="A198" s="34" t="n">
        <v>7.5</v>
      </c>
      <c r="B198" s="34" t="n">
        <v>7.5</v>
      </c>
      <c r="C198" s="18" t="n">
        <v>25.1</v>
      </c>
      <c r="D198" s="18" t="n">
        <v>-92.1</v>
      </c>
      <c r="E198" s="19" t="n">
        <v>50</v>
      </c>
      <c r="F198" s="35" t="n">
        <f aca="false">E198*0.5144</f>
        <v>25.72</v>
      </c>
      <c r="G198" s="22" t="e">
        <f aca="false">arclethnm(C197,D197,C198,D198)/6</f>
        <v>#NAME?</v>
      </c>
      <c r="H198" s="36" t="e">
        <f aca="false">G198*0.5144</f>
        <v>#NAME?</v>
      </c>
      <c r="I198" s="19" t="n">
        <v>999</v>
      </c>
      <c r="J198" s="18" t="n">
        <v>30</v>
      </c>
      <c r="K198" s="19" t="n">
        <f aca="false">B198-9.64</f>
        <v>-2.14</v>
      </c>
    </row>
    <row r="199" customFormat="false" ht="12.75" hidden="false" customHeight="false" outlineLevel="0" collapsed="false">
      <c r="A199" s="34" t="n">
        <v>7.75</v>
      </c>
      <c r="B199" s="34" t="n">
        <v>7.75</v>
      </c>
      <c r="C199" s="18" t="n">
        <v>25.3</v>
      </c>
      <c r="D199" s="18" t="n">
        <v>-92.2</v>
      </c>
      <c r="E199" s="19" t="n">
        <v>50</v>
      </c>
      <c r="F199" s="35" t="n">
        <f aca="false">E199*0.5144</f>
        <v>25.72</v>
      </c>
      <c r="G199" s="22" t="e">
        <f aca="false">arclethnm(C198,D198,C199,D199)/6</f>
        <v>#NAME?</v>
      </c>
      <c r="H199" s="36" t="e">
        <f aca="false">G199*0.5144</f>
        <v>#NAME?</v>
      </c>
      <c r="I199" s="19" t="n">
        <v>995</v>
      </c>
      <c r="J199" s="18" t="n">
        <v>30</v>
      </c>
      <c r="K199" s="19" t="n">
        <f aca="false">B199-9.64</f>
        <v>-1.89</v>
      </c>
    </row>
    <row r="200" customFormat="false" ht="12.75" hidden="false" customHeight="false" outlineLevel="0" collapsed="false">
      <c r="A200" s="34" t="n">
        <v>8</v>
      </c>
      <c r="B200" s="34" t="n">
        <v>8</v>
      </c>
      <c r="C200" s="18" t="n">
        <v>25.6</v>
      </c>
      <c r="D200" s="18" t="n">
        <v>-92.2</v>
      </c>
      <c r="E200" s="19" t="n">
        <v>55</v>
      </c>
      <c r="F200" s="35" t="n">
        <f aca="false">E200*0.5144</f>
        <v>28.292</v>
      </c>
      <c r="G200" s="22" t="e">
        <f aca="false">arclethnm(C199,D199,C200,D200)/6</f>
        <v>#NAME?</v>
      </c>
      <c r="H200" s="36" t="e">
        <f aca="false">G200*0.5144</f>
        <v>#NAME?</v>
      </c>
      <c r="I200" s="19" t="n">
        <v>991</v>
      </c>
      <c r="J200" s="18" t="n">
        <v>25</v>
      </c>
      <c r="K200" s="19" t="n">
        <f aca="false">B200-9.64</f>
        <v>-1.64</v>
      </c>
    </row>
    <row r="201" customFormat="false" ht="12.75" hidden="false" customHeight="false" outlineLevel="0" collapsed="false">
      <c r="A201" s="34" t="n">
        <v>8.25</v>
      </c>
      <c r="B201" s="34" t="n">
        <v>8.25</v>
      </c>
      <c r="C201" s="18" t="n">
        <v>26</v>
      </c>
      <c r="D201" s="18" t="n">
        <v>-92.3</v>
      </c>
      <c r="E201" s="19" t="n">
        <v>55</v>
      </c>
      <c r="F201" s="35" t="n">
        <f aca="false">E201*0.5144</f>
        <v>28.292</v>
      </c>
      <c r="G201" s="22" t="e">
        <f aca="false">arclethnm(C200,D200,C201,D201)/6</f>
        <v>#NAME?</v>
      </c>
      <c r="H201" s="36" t="e">
        <f aca="false">G201*0.5144</f>
        <v>#NAME?</v>
      </c>
      <c r="I201" s="19" t="n">
        <v>993</v>
      </c>
      <c r="J201" s="18" t="n">
        <v>25</v>
      </c>
      <c r="K201" s="19" t="n">
        <f aca="false">B201-9.64</f>
        <v>-1.39</v>
      </c>
    </row>
    <row r="202" customFormat="false" ht="12.75" hidden="false" customHeight="false" outlineLevel="0" collapsed="false">
      <c r="A202" s="34" t="n">
        <v>8.5</v>
      </c>
      <c r="B202" s="34" t="n">
        <v>8.5</v>
      </c>
      <c r="C202" s="18" t="n">
        <v>26.7</v>
      </c>
      <c r="D202" s="18" t="n">
        <v>-92.6</v>
      </c>
      <c r="E202" s="19" t="n">
        <v>55</v>
      </c>
      <c r="F202" s="35" t="n">
        <f aca="false">E202*0.5144</f>
        <v>28.292</v>
      </c>
      <c r="G202" s="22" t="e">
        <f aca="false">arclethnm(C201,D201,C202,D202)/6</f>
        <v>#NAME?</v>
      </c>
      <c r="H202" s="36" t="e">
        <f aca="false">G202*0.5144</f>
        <v>#NAME?</v>
      </c>
      <c r="I202" s="19" t="n">
        <v>991</v>
      </c>
      <c r="J202" s="18" t="n">
        <v>20</v>
      </c>
      <c r="K202" s="19" t="n">
        <f aca="false">B202-9.64</f>
        <v>-1.14</v>
      </c>
    </row>
    <row r="203" customFormat="false" ht="12.75" hidden="false" customHeight="false" outlineLevel="0" collapsed="false">
      <c r="A203" s="34" t="n">
        <v>8.75</v>
      </c>
      <c r="B203" s="34" t="n">
        <v>8.75</v>
      </c>
      <c r="C203" s="18" t="n">
        <v>27.3</v>
      </c>
      <c r="D203" s="18" t="n">
        <v>-93</v>
      </c>
      <c r="E203" s="19" t="n">
        <v>60</v>
      </c>
      <c r="F203" s="35" t="n">
        <f aca="false">E203*0.5144</f>
        <v>30.864</v>
      </c>
      <c r="G203" s="22" t="e">
        <f aca="false">arclethnm(C202,D202,C203,D203)/6</f>
        <v>#NAME?</v>
      </c>
      <c r="H203" s="36" t="e">
        <f aca="false">G203*0.5144</f>
        <v>#NAME?</v>
      </c>
      <c r="I203" s="19" t="n">
        <v>989</v>
      </c>
      <c r="J203" s="18" t="n">
        <v>20</v>
      </c>
      <c r="K203" s="19" t="n">
        <f aca="false">B203-9.64</f>
        <v>-0.890000000000001</v>
      </c>
    </row>
    <row r="204" customFormat="false" ht="12.75" hidden="false" customHeight="false" outlineLevel="0" collapsed="false">
      <c r="A204" s="34" t="n">
        <v>9</v>
      </c>
      <c r="B204" s="34" t="n">
        <v>9</v>
      </c>
      <c r="C204" s="18" t="n">
        <v>27.7</v>
      </c>
      <c r="D204" s="18" t="n">
        <v>-93.6</v>
      </c>
      <c r="E204" s="19" t="n">
        <v>60</v>
      </c>
      <c r="F204" s="35" t="n">
        <f aca="false">E204*0.5144</f>
        <v>30.864</v>
      </c>
      <c r="G204" s="22" t="e">
        <f aca="false">arclethnm(C203,D203,C204,D204)/6</f>
        <v>#NAME?</v>
      </c>
      <c r="H204" s="36" t="e">
        <f aca="false">G204*0.5144</f>
        <v>#NAME?</v>
      </c>
      <c r="I204" s="19" t="n">
        <v>988</v>
      </c>
      <c r="J204" s="18" t="n">
        <v>15</v>
      </c>
      <c r="K204" s="19" t="n">
        <f aca="false">B204-9.64</f>
        <v>-0.640000000000001</v>
      </c>
    </row>
    <row r="205" customFormat="false" ht="12.75" hidden="false" customHeight="false" outlineLevel="0" collapsed="false">
      <c r="A205" s="34" t="n">
        <v>9.25</v>
      </c>
      <c r="B205" s="34" t="n">
        <v>9.25</v>
      </c>
      <c r="C205" s="18" t="n">
        <v>27.9</v>
      </c>
      <c r="D205" s="18" t="n">
        <v>-94.6</v>
      </c>
      <c r="E205" s="19" t="n">
        <v>65</v>
      </c>
      <c r="F205" s="35" t="n">
        <f aca="false">E205*0.5144</f>
        <v>33.436</v>
      </c>
      <c r="G205" s="22" t="e">
        <f aca="false">arclethnm(C204,D204,C205,D205)/6</f>
        <v>#NAME?</v>
      </c>
      <c r="H205" s="36" t="e">
        <f aca="false">G205*0.5144</f>
        <v>#NAME?</v>
      </c>
      <c r="I205" s="19" t="n">
        <v>987</v>
      </c>
      <c r="J205" s="18" t="n">
        <v>15</v>
      </c>
      <c r="K205" s="19" t="n">
        <f aca="false">B205-9.64</f>
        <v>-0.390000000000001</v>
      </c>
    </row>
    <row r="206" customFormat="false" ht="12.75" hidden="false" customHeight="false" outlineLevel="0" collapsed="false">
      <c r="A206" s="34" t="n">
        <v>9.5</v>
      </c>
      <c r="B206" s="34" t="n">
        <v>9.5</v>
      </c>
      <c r="C206" s="18" t="n">
        <v>28.3</v>
      </c>
      <c r="D206" s="18" t="n">
        <v>-95.5</v>
      </c>
      <c r="E206" s="19" t="n">
        <v>75</v>
      </c>
      <c r="F206" s="35" t="n">
        <f aca="false">E206*0.5144</f>
        <v>38.58</v>
      </c>
      <c r="G206" s="22" t="e">
        <f aca="false">arclethnm(C205,D205,C206,D206)/6</f>
        <v>#NAME?</v>
      </c>
      <c r="H206" s="36" t="e">
        <f aca="false">G206*0.5144</f>
        <v>#NAME?</v>
      </c>
      <c r="I206" s="19" t="n">
        <v>982</v>
      </c>
      <c r="J206" s="18" t="n">
        <v>15</v>
      </c>
      <c r="K206" s="19" t="n">
        <f aca="false">B206-9.64</f>
        <v>-0.140000000000001</v>
      </c>
    </row>
    <row r="207" customFormat="false" ht="12.75" hidden="false" customHeight="false" outlineLevel="0" collapsed="false">
      <c r="A207" s="34" t="n">
        <v>9.64</v>
      </c>
      <c r="B207" s="34" t="n">
        <v>9.64</v>
      </c>
      <c r="C207" s="18" t="n">
        <v>28.3</v>
      </c>
      <c r="D207" s="18" t="n">
        <v>-96.2</v>
      </c>
      <c r="E207" s="19" t="n">
        <v>80</v>
      </c>
      <c r="F207" s="35" t="n">
        <f aca="false">E207*0.5144</f>
        <v>41.152</v>
      </c>
      <c r="G207" s="22" t="e">
        <f aca="false">arclethnm(C206,D206,C207,D207)/6</f>
        <v>#NAME?</v>
      </c>
      <c r="H207" s="36" t="e">
        <f aca="false">G207*0.5144</f>
        <v>#NAME?</v>
      </c>
      <c r="I207" s="20" t="n">
        <v>979</v>
      </c>
      <c r="J207" s="18" t="n">
        <v>-999</v>
      </c>
      <c r="K207" s="19" t="n">
        <f aca="false">B207-9.64</f>
        <v>0</v>
      </c>
    </row>
    <row r="208" customFormat="false" ht="12.75" hidden="false" customHeight="false" outlineLevel="0" collapsed="false">
      <c r="A208" s="34" t="n">
        <v>9.75</v>
      </c>
      <c r="B208" s="34" t="n">
        <v>9.75</v>
      </c>
      <c r="C208" s="18" t="n">
        <v>28.6</v>
      </c>
      <c r="D208" s="18" t="n">
        <v>-96.9</v>
      </c>
      <c r="E208" s="19" t="n">
        <v>70</v>
      </c>
      <c r="F208" s="35" t="n">
        <f aca="false">E208*0.5144</f>
        <v>36.008</v>
      </c>
      <c r="G208" s="22" t="e">
        <f aca="false">arclethnm(C207,D207,C208,D208)/6</f>
        <v>#NAME?</v>
      </c>
      <c r="H208" s="36" t="e">
        <f aca="false">G208*0.5144</f>
        <v>#NAME?</v>
      </c>
      <c r="I208" s="19" t="n">
        <v>984</v>
      </c>
      <c r="J208" s="18" t="n">
        <v>15</v>
      </c>
      <c r="K208" s="19" t="n">
        <f aca="false">B208-9.64</f>
        <v>0.109999999999999</v>
      </c>
    </row>
    <row r="209" customFormat="false" ht="12.75" hidden="false" customHeight="false" outlineLevel="0" collapsed="false">
      <c r="A209" s="34" t="n">
        <v>10</v>
      </c>
      <c r="B209" s="34" t="n">
        <v>10</v>
      </c>
      <c r="C209" s="18" t="n">
        <v>28.5</v>
      </c>
      <c r="D209" s="18" t="n">
        <v>-98.2</v>
      </c>
      <c r="E209" s="19" t="n">
        <v>50</v>
      </c>
      <c r="F209" s="35" t="n">
        <f aca="false">E209*0.5144</f>
        <v>25.72</v>
      </c>
      <c r="G209" s="22" t="e">
        <f aca="false">arclethnm(C208,D208,C209,D209)/6</f>
        <v>#NAME?</v>
      </c>
      <c r="H209" s="36" t="e">
        <f aca="false">G209*0.5144</f>
        <v>#NAME?</v>
      </c>
      <c r="I209" s="19" t="n">
        <v>995</v>
      </c>
      <c r="J209" s="18" t="n">
        <v>20</v>
      </c>
      <c r="K209" s="19" t="n">
        <f aca="false">B209-9.64</f>
        <v>0.359999999999999</v>
      </c>
    </row>
    <row r="210" customFormat="false" ht="12.75" hidden="false" customHeight="false" outlineLevel="0" collapsed="false">
      <c r="A210" s="34" t="n">
        <v>10.25</v>
      </c>
      <c r="B210" s="34" t="n">
        <v>10.25</v>
      </c>
      <c r="C210" s="18" t="n">
        <v>28.5</v>
      </c>
      <c r="D210" s="18" t="n">
        <v>-99.4</v>
      </c>
      <c r="E210" s="19" t="n">
        <v>40</v>
      </c>
      <c r="F210" s="35" t="n">
        <f aca="false">E210*0.5144</f>
        <v>20.576</v>
      </c>
      <c r="G210" s="22" t="e">
        <f aca="false">arclethnm(C209,D209,C210,D210)/6</f>
        <v>#NAME?</v>
      </c>
      <c r="H210" s="36" t="e">
        <f aca="false">G210*0.5144</f>
        <v>#NAME?</v>
      </c>
      <c r="I210" s="19" t="n">
        <v>999</v>
      </c>
      <c r="J210" s="18" t="n">
        <v>0</v>
      </c>
      <c r="K210" s="19" t="n">
        <f aca="false">B210-9.64</f>
        <v>0.609999999999999</v>
      </c>
    </row>
    <row r="211" customFormat="false" ht="12.75" hidden="false" customHeight="false" outlineLevel="0" collapsed="false">
      <c r="A211" s="34" t="n">
        <v>10.5</v>
      </c>
      <c r="B211" s="34" t="n">
        <v>10.5</v>
      </c>
      <c r="C211" s="18" t="n">
        <v>28.8</v>
      </c>
      <c r="D211" s="18" t="n">
        <v>-100.8</v>
      </c>
      <c r="E211" s="19" t="n">
        <v>35</v>
      </c>
      <c r="F211" s="35" t="n">
        <f aca="false">E211*0.5144</f>
        <v>18.004</v>
      </c>
      <c r="G211" s="22" t="e">
        <f aca="false">arclethnm(C210,D210,C211,D211)/6</f>
        <v>#NAME?</v>
      </c>
      <c r="H211" s="36" t="e">
        <f aca="false">G211*0.5144</f>
        <v>#NAME?</v>
      </c>
      <c r="I211" s="19" t="n">
        <v>1003</v>
      </c>
      <c r="J211" s="18" t="n">
        <v>0</v>
      </c>
      <c r="K211" s="19" t="n">
        <f aca="false">B211-9.64</f>
        <v>0.859999999999999</v>
      </c>
    </row>
    <row r="212" customFormat="false" ht="12.75" hidden="false" customHeight="false" outlineLevel="0" collapsed="false">
      <c r="A212" s="34" t="n">
        <v>10.75</v>
      </c>
      <c r="B212" s="34" t="n">
        <v>10.75</v>
      </c>
      <c r="C212" s="18" t="n">
        <v>29.3</v>
      </c>
      <c r="D212" s="18" t="n">
        <v>-102.6</v>
      </c>
      <c r="E212" s="19" t="n">
        <v>35</v>
      </c>
      <c r="F212" s="35" t="n">
        <f aca="false">E212*0.5144</f>
        <v>18.004</v>
      </c>
      <c r="G212" s="22" t="e">
        <f aca="false">arclethnm(C211,D211,C212,D212)/6</f>
        <v>#NAME?</v>
      </c>
      <c r="H212" s="36" t="e">
        <f aca="false">G212*0.5144</f>
        <v>#NAME?</v>
      </c>
      <c r="I212" s="19" t="n">
        <v>1007</v>
      </c>
      <c r="J212" s="18" t="n">
        <v>0</v>
      </c>
      <c r="K212" s="19" t="n">
        <f aca="false">B212-9.64</f>
        <v>1.11</v>
      </c>
    </row>
    <row r="213" customFormat="false" ht="12.75" hidden="false" customHeight="false" outlineLevel="0" collapsed="false">
      <c r="A213" s="34" t="n">
        <v>11</v>
      </c>
      <c r="B213" s="34" t="n">
        <v>11</v>
      </c>
      <c r="C213" s="18" t="n">
        <v>29.9</v>
      </c>
      <c r="D213" s="18" t="n">
        <v>-104.3</v>
      </c>
      <c r="E213" s="19" t="n">
        <v>30</v>
      </c>
      <c r="F213" s="35" t="n">
        <f aca="false">E213*0.5144</f>
        <v>15.432</v>
      </c>
      <c r="G213" s="22" t="e">
        <f aca="false">arclethnm(C212,D212,C213,D213)/6</f>
        <v>#NAME?</v>
      </c>
      <c r="H213" s="36" t="e">
        <f aca="false">G213*0.5144</f>
        <v>#NAME?</v>
      </c>
      <c r="I213" s="19" t="n">
        <v>1014</v>
      </c>
      <c r="J213" s="18" t="n">
        <v>0</v>
      </c>
      <c r="K213" s="19" t="n">
        <f aca="false">B213-9.64</f>
        <v>1.36</v>
      </c>
    </row>
    <row r="214" customFormat="false" ht="12.75" hidden="false" customHeight="false" outlineLevel="0" collapsed="false">
      <c r="A214" s="34" t="n">
        <v>11.25</v>
      </c>
      <c r="B214" s="34" t="n">
        <v>11.25</v>
      </c>
      <c r="C214" s="18" t="n">
        <v>30.5</v>
      </c>
      <c r="D214" s="18" t="n">
        <v>-106</v>
      </c>
      <c r="E214" s="19" t="n">
        <v>25</v>
      </c>
      <c r="F214" s="35" t="n">
        <f aca="false">E214*0.5144</f>
        <v>12.86</v>
      </c>
      <c r="G214" s="22" t="e">
        <f aca="false">arclethnm(C213,D213,C214,D214)/6</f>
        <v>#NAME?</v>
      </c>
      <c r="H214" s="36" t="e">
        <f aca="false">G214*0.5144</f>
        <v>#NAME?</v>
      </c>
      <c r="I214" s="19" t="n">
        <v>1016</v>
      </c>
      <c r="J214" s="18" t="n">
        <v>0</v>
      </c>
      <c r="K214" s="19" t="n">
        <f aca="false">B214-9.64</f>
        <v>1.61</v>
      </c>
    </row>
    <row r="215" customFormat="false" ht="12.75" hidden="false" customHeight="false" outlineLevel="0" collapsed="false">
      <c r="A215" s="34" t="n">
        <v>11.5</v>
      </c>
      <c r="B215" s="34" t="n">
        <v>11.5</v>
      </c>
      <c r="C215" s="18" t="n">
        <v>30.9</v>
      </c>
      <c r="D215" s="18" t="n">
        <v>-107.7</v>
      </c>
      <c r="E215" s="19" t="n">
        <v>25</v>
      </c>
      <c r="F215" s="35" t="n">
        <f aca="false">E215*0.5144</f>
        <v>12.86</v>
      </c>
      <c r="G215" s="22" t="e">
        <f aca="false">arclethnm(C214,D214,C215,D215)/6</f>
        <v>#NAME?</v>
      </c>
      <c r="H215" s="36" t="e">
        <f aca="false">G215*0.5144</f>
        <v>#NAME?</v>
      </c>
      <c r="I215" s="19" t="n">
        <v>1016</v>
      </c>
      <c r="J215" s="18" t="n">
        <v>0</v>
      </c>
      <c r="K215" s="19" t="n">
        <f aca="false">A215-9.64</f>
        <v>1.86</v>
      </c>
    </row>
    <row r="216" customFormat="false" ht="12.75" hidden="false" customHeight="false" outlineLevel="0" collapsed="false">
      <c r="A216" s="0"/>
      <c r="B216" s="34"/>
      <c r="C216" s="34"/>
      <c r="D216" s="34"/>
      <c r="E216" s="0"/>
      <c r="F216" s="0"/>
      <c r="G216" s="22"/>
      <c r="H216" s="36"/>
      <c r="I216" s="0"/>
      <c r="J216" s="0"/>
      <c r="K216" s="0"/>
    </row>
    <row r="217" customFormat="false" ht="12.75" hidden="false" customHeight="false" outlineLevel="0" collapsed="false">
      <c r="A217" s="0"/>
      <c r="B217" s="37" t="s">
        <v>160</v>
      </c>
      <c r="C217" s="37"/>
      <c r="D217" s="37"/>
      <c r="E217" s="20" t="s">
        <v>43</v>
      </c>
      <c r="F217" s="0"/>
      <c r="G217" s="22"/>
      <c r="H217" s="36"/>
      <c r="I217" s="0"/>
      <c r="J217" s="0"/>
      <c r="K217" s="0"/>
    </row>
    <row r="218" customFormat="false" ht="12.75" hidden="false" customHeight="false" outlineLevel="0" collapsed="false">
      <c r="A218" s="34" t="n">
        <v>1</v>
      </c>
      <c r="B218" s="34" t="n">
        <v>1</v>
      </c>
      <c r="C218" s="18" t="n">
        <v>21.3</v>
      </c>
      <c r="D218" s="18" t="n">
        <v>-69.9</v>
      </c>
      <c r="E218" s="19" t="n">
        <v>25</v>
      </c>
      <c r="F218" s="35" t="n">
        <f aca="false">E218*0.5144</f>
        <v>12.86</v>
      </c>
      <c r="G218" s="22"/>
      <c r="H218" s="36"/>
      <c r="I218" s="19" t="n">
        <v>1009</v>
      </c>
      <c r="J218" s="18" t="n">
        <v>45</v>
      </c>
      <c r="K218" s="19" t="n">
        <f aca="false">B218-5.13</f>
        <v>-4.13</v>
      </c>
    </row>
    <row r="219" customFormat="false" ht="12.75" hidden="false" customHeight="false" outlineLevel="0" collapsed="false">
      <c r="A219" s="34" t="n">
        <v>1.25</v>
      </c>
      <c r="B219" s="34" t="n">
        <v>1.25</v>
      </c>
      <c r="C219" s="18" t="n">
        <v>21.6</v>
      </c>
      <c r="D219" s="18" t="n">
        <v>-70.7</v>
      </c>
      <c r="E219" s="19" t="n">
        <v>25</v>
      </c>
      <c r="F219" s="35" t="n">
        <f aca="false">E219*0.5144</f>
        <v>12.86</v>
      </c>
      <c r="G219" s="22" t="e">
        <f aca="false">arclethnm(C218,D218,C219,D219)/6</f>
        <v>#NAME?</v>
      </c>
      <c r="H219" s="36" t="e">
        <f aca="false">G219*0.5144</f>
        <v>#NAME?</v>
      </c>
      <c r="I219" s="19" t="n">
        <v>1009</v>
      </c>
      <c r="J219" s="18" t="n">
        <v>45</v>
      </c>
      <c r="K219" s="19" t="n">
        <f aca="false">B219-5.13</f>
        <v>-3.88</v>
      </c>
    </row>
    <row r="220" customFormat="false" ht="12.75" hidden="false" customHeight="false" outlineLevel="0" collapsed="false">
      <c r="A220" s="34" t="n">
        <v>1.5</v>
      </c>
      <c r="B220" s="34" t="n">
        <v>1.5</v>
      </c>
      <c r="C220" s="18" t="n">
        <v>21.9</v>
      </c>
      <c r="D220" s="18" t="n">
        <v>-71.5</v>
      </c>
      <c r="E220" s="19" t="n">
        <v>30</v>
      </c>
      <c r="F220" s="35" t="n">
        <f aca="false">E220*0.5144</f>
        <v>15.432</v>
      </c>
      <c r="G220" s="22" t="e">
        <f aca="false">arclethnm(C219,D219,C220,D220)/6</f>
        <v>#NAME?</v>
      </c>
      <c r="H220" s="36" t="e">
        <f aca="false">G220*0.5144</f>
        <v>#NAME?</v>
      </c>
      <c r="I220" s="19" t="n">
        <v>1007</v>
      </c>
      <c r="J220" s="18" t="n">
        <v>45</v>
      </c>
      <c r="K220" s="19" t="n">
        <f aca="false">B220-5.13</f>
        <v>-3.63</v>
      </c>
    </row>
    <row r="221" customFormat="false" ht="12.75" hidden="false" customHeight="false" outlineLevel="0" collapsed="false">
      <c r="A221" s="34" t="n">
        <v>1.75</v>
      </c>
      <c r="B221" s="34" t="n">
        <v>1.75</v>
      </c>
      <c r="C221" s="18" t="n">
        <v>22.2</v>
      </c>
      <c r="D221" s="18" t="n">
        <v>-72.3</v>
      </c>
      <c r="E221" s="19" t="n">
        <v>35</v>
      </c>
      <c r="F221" s="35" t="n">
        <f aca="false">E221*0.5144</f>
        <v>18.004</v>
      </c>
      <c r="G221" s="22" t="e">
        <f aca="false">arclethnm(C220,D220,C221,D221)/6</f>
        <v>#NAME?</v>
      </c>
      <c r="H221" s="36" t="e">
        <f aca="false">G221*0.5144</f>
        <v>#NAME?</v>
      </c>
      <c r="I221" s="19" t="n">
        <v>1005</v>
      </c>
      <c r="J221" s="18" t="n">
        <v>45</v>
      </c>
      <c r="K221" s="19" t="n">
        <f aca="false">B221-5.13</f>
        <v>-3.38</v>
      </c>
    </row>
    <row r="222" customFormat="false" ht="12.75" hidden="false" customHeight="false" outlineLevel="0" collapsed="false">
      <c r="A222" s="34" t="n">
        <v>2</v>
      </c>
      <c r="B222" s="34" t="n">
        <v>2</v>
      </c>
      <c r="C222" s="18" t="n">
        <v>22.4</v>
      </c>
      <c r="D222" s="18" t="n">
        <v>-73</v>
      </c>
      <c r="E222" s="19" t="n">
        <v>45</v>
      </c>
      <c r="F222" s="35" t="n">
        <f aca="false">E222*0.5144</f>
        <v>23.148</v>
      </c>
      <c r="G222" s="22" t="e">
        <f aca="false">arclethnm(C221,D221,C222,D222)/6</f>
        <v>#NAME?</v>
      </c>
      <c r="H222" s="36" t="e">
        <f aca="false">G222*0.5144</f>
        <v>#NAME?</v>
      </c>
      <c r="I222" s="19" t="n">
        <v>1002</v>
      </c>
      <c r="J222" s="18" t="n">
        <v>30</v>
      </c>
      <c r="K222" s="19" t="n">
        <f aca="false">B222-5.13</f>
        <v>-3.13</v>
      </c>
    </row>
    <row r="223" customFormat="false" ht="12.75" hidden="false" customHeight="false" outlineLevel="0" collapsed="false">
      <c r="A223" s="34" t="n">
        <v>2.25</v>
      </c>
      <c r="B223" s="34" t="n">
        <v>2.25</v>
      </c>
      <c r="C223" s="18" t="n">
        <v>22.6</v>
      </c>
      <c r="D223" s="18" t="n">
        <v>-73.8</v>
      </c>
      <c r="E223" s="19" t="n">
        <v>50</v>
      </c>
      <c r="F223" s="35" t="n">
        <f aca="false">E223*0.5144</f>
        <v>25.72</v>
      </c>
      <c r="G223" s="22" t="e">
        <f aca="false">arclethnm(C222,D222,C223,D223)/6</f>
        <v>#NAME?</v>
      </c>
      <c r="H223" s="36" t="e">
        <f aca="false">G223*0.5144</f>
        <v>#NAME?</v>
      </c>
      <c r="I223" s="19" t="n">
        <v>999</v>
      </c>
      <c r="J223" s="18" t="n">
        <v>30</v>
      </c>
      <c r="K223" s="19" t="n">
        <f aca="false">B223-5.13</f>
        <v>-2.88</v>
      </c>
    </row>
    <row r="224" customFormat="false" ht="12.75" hidden="false" customHeight="false" outlineLevel="0" collapsed="false">
      <c r="A224" s="34" t="n">
        <v>2.5</v>
      </c>
      <c r="B224" s="34" t="n">
        <v>2.5</v>
      </c>
      <c r="C224" s="18" t="n">
        <v>22.8</v>
      </c>
      <c r="D224" s="18" t="n">
        <v>-74.7</v>
      </c>
      <c r="E224" s="19" t="n">
        <v>55</v>
      </c>
      <c r="F224" s="35" t="n">
        <f aca="false">E224*0.5144</f>
        <v>28.292</v>
      </c>
      <c r="G224" s="22" t="e">
        <f aca="false">arclethnm(C223,D223,C224,D224)/6</f>
        <v>#NAME?</v>
      </c>
      <c r="H224" s="36" t="e">
        <f aca="false">G224*0.5144</f>
        <v>#NAME?</v>
      </c>
      <c r="I224" s="19" t="n">
        <v>997</v>
      </c>
      <c r="J224" s="18" t="n">
        <v>30</v>
      </c>
      <c r="K224" s="19" t="n">
        <f aca="false">B224-5.13</f>
        <v>-2.63</v>
      </c>
    </row>
    <row r="225" customFormat="false" ht="12.75" hidden="false" customHeight="false" outlineLevel="0" collapsed="false">
      <c r="A225" s="34" t="n">
        <v>2.75</v>
      </c>
      <c r="B225" s="34" t="n">
        <v>2.75</v>
      </c>
      <c r="C225" s="18" t="n">
        <v>23.1</v>
      </c>
      <c r="D225" s="18" t="n">
        <v>-75.9</v>
      </c>
      <c r="E225" s="19" t="n">
        <v>60</v>
      </c>
      <c r="F225" s="35" t="n">
        <f aca="false">E225*0.5144</f>
        <v>30.864</v>
      </c>
      <c r="G225" s="22" t="e">
        <f aca="false">arclethnm(C224,D224,C225,D225)/6</f>
        <v>#NAME?</v>
      </c>
      <c r="H225" s="36" t="e">
        <f aca="false">G225*0.5144</f>
        <v>#NAME?</v>
      </c>
      <c r="I225" s="19" t="n">
        <v>994</v>
      </c>
      <c r="J225" s="18" t="n">
        <v>25</v>
      </c>
      <c r="K225" s="19" t="n">
        <f aca="false">B225-5.13</f>
        <v>-2.38</v>
      </c>
    </row>
    <row r="226" customFormat="false" ht="12.75" hidden="false" customHeight="false" outlineLevel="0" collapsed="false">
      <c r="A226" s="34" t="n">
        <v>3</v>
      </c>
      <c r="B226" s="34" t="n">
        <v>3</v>
      </c>
      <c r="C226" s="18" t="n">
        <v>23.3</v>
      </c>
      <c r="D226" s="18" t="n">
        <v>-77.2</v>
      </c>
      <c r="E226" s="19" t="n">
        <v>60</v>
      </c>
      <c r="F226" s="35" t="n">
        <f aca="false">E226*0.5144</f>
        <v>30.864</v>
      </c>
      <c r="G226" s="22" t="e">
        <f aca="false">arclethnm(C225,D225,C226,D226)/6</f>
        <v>#NAME?</v>
      </c>
      <c r="H226" s="36" t="e">
        <f aca="false">G226*0.5144</f>
        <v>#NAME?</v>
      </c>
      <c r="I226" s="19" t="n">
        <v>992</v>
      </c>
      <c r="J226" s="18" t="n">
        <v>25</v>
      </c>
      <c r="K226" s="19" t="n">
        <f aca="false">B226-5.13</f>
        <v>-2.13</v>
      </c>
    </row>
    <row r="227" customFormat="false" ht="12.75" hidden="false" customHeight="false" outlineLevel="0" collapsed="false">
      <c r="A227" s="34" t="n">
        <v>3.25</v>
      </c>
      <c r="B227" s="34" t="n">
        <v>3.25</v>
      </c>
      <c r="C227" s="18" t="n">
        <v>23.5</v>
      </c>
      <c r="D227" s="18" t="n">
        <v>-78.8</v>
      </c>
      <c r="E227" s="19" t="n">
        <v>60</v>
      </c>
      <c r="F227" s="35" t="n">
        <f aca="false">E227*0.5144</f>
        <v>30.864</v>
      </c>
      <c r="G227" s="22" t="e">
        <f aca="false">arclethnm(C226,D226,C227,D227)/6</f>
        <v>#NAME?</v>
      </c>
      <c r="H227" s="36" t="e">
        <f aca="false">G227*0.5144</f>
        <v>#NAME?</v>
      </c>
      <c r="I227" s="19" t="n">
        <v>990</v>
      </c>
      <c r="J227" s="18" t="n">
        <v>35</v>
      </c>
      <c r="K227" s="19" t="n">
        <f aca="false">B227-5.13</f>
        <v>-1.88</v>
      </c>
    </row>
    <row r="228" customFormat="false" ht="12.75" hidden="false" customHeight="false" outlineLevel="0" collapsed="false">
      <c r="A228" s="34" t="n">
        <v>3.5</v>
      </c>
      <c r="B228" s="34" t="n">
        <v>3.5</v>
      </c>
      <c r="C228" s="18" t="n">
        <v>23.7</v>
      </c>
      <c r="D228" s="18" t="n">
        <v>-80.3</v>
      </c>
      <c r="E228" s="19" t="n">
        <v>70</v>
      </c>
      <c r="F228" s="35" t="n">
        <f aca="false">E228*0.5144</f>
        <v>36.008</v>
      </c>
      <c r="G228" s="22" t="e">
        <f aca="false">arclethnm(C227,D227,C228,D228)/6</f>
        <v>#NAME?</v>
      </c>
      <c r="H228" s="36" t="e">
        <f aca="false">G228*0.5144</f>
        <v>#NAME?</v>
      </c>
      <c r="I228" s="19" t="n">
        <v>985</v>
      </c>
      <c r="J228" s="18" t="n">
        <v>35</v>
      </c>
      <c r="K228" s="19" t="n">
        <f aca="false">B228-5.13</f>
        <v>-1.63</v>
      </c>
    </row>
    <row r="229" customFormat="false" ht="12.75" hidden="false" customHeight="false" outlineLevel="0" collapsed="false">
      <c r="A229" s="34" t="n">
        <v>3.75</v>
      </c>
      <c r="B229" s="34" t="n">
        <v>3.75</v>
      </c>
      <c r="C229" s="18" t="n">
        <v>23.9</v>
      </c>
      <c r="D229" s="18" t="n">
        <v>-81.6</v>
      </c>
      <c r="E229" s="19" t="n">
        <v>85</v>
      </c>
      <c r="F229" s="35" t="n">
        <f aca="false">E229*0.5144</f>
        <v>43.724</v>
      </c>
      <c r="G229" s="22" t="e">
        <f aca="false">arclethnm(C228,D228,C229,D229)/6</f>
        <v>#NAME?</v>
      </c>
      <c r="H229" s="36" t="e">
        <f aca="false">G229*0.5144</f>
        <v>#NAME?</v>
      </c>
      <c r="I229" s="19" t="n">
        <v>975</v>
      </c>
      <c r="J229" s="18" t="n">
        <v>35</v>
      </c>
      <c r="K229" s="19" t="n">
        <f aca="false">B229-5.13</f>
        <v>-1.38</v>
      </c>
    </row>
    <row r="230" customFormat="false" ht="12.75" hidden="false" customHeight="false" outlineLevel="0" collapsed="false">
      <c r="A230" s="34" t="n">
        <v>4</v>
      </c>
      <c r="B230" s="34" t="n">
        <v>4</v>
      </c>
      <c r="C230" s="18" t="n">
        <v>24.1</v>
      </c>
      <c r="D230" s="18" t="n">
        <v>-82.7</v>
      </c>
      <c r="E230" s="19" t="n">
        <v>95</v>
      </c>
      <c r="F230" s="35" t="n">
        <f aca="false">E230*0.5144</f>
        <v>48.868</v>
      </c>
      <c r="G230" s="22" t="e">
        <f aca="false">arclethnm(C229,D229,C230,D230)/6</f>
        <v>#NAME?</v>
      </c>
      <c r="H230" s="36" t="e">
        <f aca="false">G230*0.5144</f>
        <v>#NAME?</v>
      </c>
      <c r="I230" s="19" t="n">
        <v>967</v>
      </c>
      <c r="J230" s="18" t="n">
        <v>20</v>
      </c>
      <c r="K230" s="19" t="n">
        <f aca="false">B230-5.13</f>
        <v>-1.13</v>
      </c>
    </row>
    <row r="231" customFormat="false" ht="12.75" hidden="false" customHeight="false" outlineLevel="0" collapsed="false">
      <c r="A231" s="34" t="n">
        <v>4.25</v>
      </c>
      <c r="B231" s="34" t="n">
        <v>4.25</v>
      </c>
      <c r="C231" s="18" t="n">
        <v>24.2</v>
      </c>
      <c r="D231" s="18" t="n">
        <v>-84</v>
      </c>
      <c r="E231" s="19" t="n">
        <v>110</v>
      </c>
      <c r="F231" s="35" t="n">
        <f aca="false">E231*0.5144</f>
        <v>56.584</v>
      </c>
      <c r="G231" s="22" t="e">
        <f aca="false">arclethnm(C230,D230,C231,D231)/6</f>
        <v>#NAME?</v>
      </c>
      <c r="H231" s="36" t="e">
        <f aca="false">G231*0.5144</f>
        <v>#NAME?</v>
      </c>
      <c r="I231" s="19" t="n">
        <v>955</v>
      </c>
      <c r="J231" s="18" t="n">
        <v>15</v>
      </c>
      <c r="K231" s="19" t="n">
        <f aca="false">B231-5.13</f>
        <v>-0.88</v>
      </c>
    </row>
    <row r="232" customFormat="false" ht="12.75" hidden="false" customHeight="false" outlineLevel="0" collapsed="false">
      <c r="A232" s="34" t="n">
        <v>4.5</v>
      </c>
      <c r="B232" s="34" t="n">
        <v>4.5</v>
      </c>
      <c r="C232" s="18" t="n">
        <v>24.2</v>
      </c>
      <c r="D232" s="18" t="n">
        <v>-85.2</v>
      </c>
      <c r="E232" s="19" t="n">
        <v>120</v>
      </c>
      <c r="F232" s="35" t="n">
        <f aca="false">E232*0.5144</f>
        <v>61.728</v>
      </c>
      <c r="G232" s="22" t="e">
        <f aca="false">arclethnm(C231,D231,C232,D232)/6</f>
        <v>#NAME?</v>
      </c>
      <c r="H232" s="36" t="e">
        <f aca="false">G232*0.5144</f>
        <v>#NAME?</v>
      </c>
      <c r="I232" s="19" t="n">
        <v>941</v>
      </c>
      <c r="J232" s="18" t="n">
        <v>15</v>
      </c>
      <c r="K232" s="19" t="n">
        <f aca="false">B232-5.13</f>
        <v>-0.63</v>
      </c>
    </row>
    <row r="233" customFormat="false" ht="12.75" hidden="false" customHeight="false" outlineLevel="0" collapsed="false">
      <c r="A233" s="34" t="n">
        <v>4.75</v>
      </c>
      <c r="B233" s="34" t="n">
        <v>4.75</v>
      </c>
      <c r="C233" s="18" t="n">
        <v>24.3</v>
      </c>
      <c r="D233" s="18" t="n">
        <v>-86.2</v>
      </c>
      <c r="E233" s="19" t="n">
        <v>145</v>
      </c>
      <c r="F233" s="35" t="n">
        <f aca="false">E233*0.5144</f>
        <v>74.588</v>
      </c>
      <c r="G233" s="22" t="e">
        <f aca="false">arclethnm(C232,D232,C233,D233)/6</f>
        <v>#NAME?</v>
      </c>
      <c r="H233" s="36" t="e">
        <f aca="false">G233*0.5144</f>
        <v>#NAME?</v>
      </c>
      <c r="I233" s="19" t="n">
        <v>920</v>
      </c>
      <c r="J233" s="18" t="n">
        <v>20</v>
      </c>
      <c r="K233" s="19" t="n">
        <f aca="false">B233-5.13</f>
        <v>-0.38</v>
      </c>
    </row>
    <row r="234" customFormat="false" ht="12.75" hidden="false" customHeight="false" outlineLevel="0" collapsed="false">
      <c r="A234" s="34" t="n">
        <v>5</v>
      </c>
      <c r="B234" s="34" t="n">
        <v>5</v>
      </c>
      <c r="C234" s="18" t="n">
        <v>24.5</v>
      </c>
      <c r="D234" s="18" t="n">
        <v>-86.9</v>
      </c>
      <c r="E234" s="19" t="n">
        <v>150</v>
      </c>
      <c r="F234" s="35" t="n">
        <f aca="false">E234*0.5144</f>
        <v>77.16</v>
      </c>
      <c r="G234" s="22" t="e">
        <f aca="false">arclethnm(C233,D233,C234,D234)/6</f>
        <v>#NAME?</v>
      </c>
      <c r="H234" s="36" t="e">
        <f aca="false">G234*0.5144</f>
        <v>#NAME?</v>
      </c>
      <c r="I234" s="19" t="n">
        <v>897</v>
      </c>
      <c r="J234" s="18" t="n">
        <v>25</v>
      </c>
      <c r="K234" s="19" t="n">
        <f aca="false">B234-5.13</f>
        <v>-0.13</v>
      </c>
    </row>
    <row r="235" customFormat="false" ht="12.75" hidden="false" customHeight="false" outlineLevel="0" collapsed="false">
      <c r="A235" s="34" t="n">
        <v>5.13</v>
      </c>
      <c r="B235" s="34" t="n">
        <v>5.13</v>
      </c>
      <c r="C235" s="18" t="n">
        <v>24.7</v>
      </c>
      <c r="D235" s="18" t="n">
        <v>-87.3</v>
      </c>
      <c r="E235" s="19" t="n">
        <v>155</v>
      </c>
      <c r="F235" s="35" t="n">
        <f aca="false">E235*0.5144</f>
        <v>79.732</v>
      </c>
      <c r="G235" s="22" t="e">
        <f aca="false">arclethnm(C234,D234,C235,D235)/6</f>
        <v>#NAME?</v>
      </c>
      <c r="H235" s="36" t="e">
        <f aca="false">G235*0.5144</f>
        <v>#NAME?</v>
      </c>
      <c r="I235" s="20" t="n">
        <v>895</v>
      </c>
      <c r="J235" s="18" t="n">
        <v>-999</v>
      </c>
      <c r="K235" s="19" t="n">
        <v>0</v>
      </c>
    </row>
    <row r="236" customFormat="false" ht="12.75" hidden="false" customHeight="false" outlineLevel="0" collapsed="false">
      <c r="A236" s="34" t="n">
        <v>5.25</v>
      </c>
      <c r="B236" s="34" t="n">
        <v>5.25</v>
      </c>
      <c r="C236" s="18" t="n">
        <v>24.8</v>
      </c>
      <c r="D236" s="18" t="n">
        <v>-87.6</v>
      </c>
      <c r="E236" s="19" t="n">
        <v>155</v>
      </c>
      <c r="F236" s="35" t="n">
        <f aca="false">E236*0.5144</f>
        <v>79.732</v>
      </c>
      <c r="G236" s="22" t="e">
        <f aca="false">arclethnm(C235,D235,C236,D236)/6</f>
        <v>#NAME?</v>
      </c>
      <c r="H236" s="36" t="e">
        <f aca="false">G236*0.5144</f>
        <v>#NAME?</v>
      </c>
      <c r="I236" s="19" t="n">
        <v>897</v>
      </c>
      <c r="J236" s="18" t="n">
        <v>10</v>
      </c>
      <c r="K236" s="19" t="n">
        <f aca="false">B236-5.13</f>
        <v>0.12</v>
      </c>
    </row>
    <row r="237" customFormat="false" ht="12.75" hidden="false" customHeight="false" outlineLevel="0" collapsed="false">
      <c r="A237" s="34" t="n">
        <v>5.5</v>
      </c>
      <c r="B237" s="34" t="n">
        <v>5.5</v>
      </c>
      <c r="C237" s="18" t="n">
        <v>25.2</v>
      </c>
      <c r="D237" s="18" t="n">
        <v>-88.3</v>
      </c>
      <c r="E237" s="19" t="n">
        <v>140</v>
      </c>
      <c r="F237" s="35" t="n">
        <f aca="false">E237*0.5144</f>
        <v>72.016</v>
      </c>
      <c r="G237" s="22" t="e">
        <f aca="false">arclethnm(C236,D236,C237,D237)/6</f>
        <v>#NAME?</v>
      </c>
      <c r="H237" s="36" t="e">
        <f aca="false">G237*0.5144</f>
        <v>#NAME?</v>
      </c>
      <c r="I237" s="19" t="n">
        <v>908</v>
      </c>
      <c r="J237" s="18" t="n">
        <v>10</v>
      </c>
      <c r="K237" s="19" t="n">
        <f aca="false">B237-5.13</f>
        <v>0.37</v>
      </c>
    </row>
    <row r="238" customFormat="false" ht="12.75" hidden="false" customHeight="false" outlineLevel="0" collapsed="false">
      <c r="A238" s="34" t="n">
        <v>5.75</v>
      </c>
      <c r="B238" s="34" t="n">
        <v>5.75</v>
      </c>
      <c r="C238" s="18" t="n">
        <v>25.6</v>
      </c>
      <c r="D238" s="18" t="n">
        <v>-89.1</v>
      </c>
      <c r="E238" s="19" t="n">
        <v>125</v>
      </c>
      <c r="F238" s="35" t="n">
        <f aca="false">E238*0.5144</f>
        <v>64.3</v>
      </c>
      <c r="G238" s="22" t="e">
        <f aca="false">arclethnm(C237,D237,C238,D238)/6</f>
        <v>#NAME?</v>
      </c>
      <c r="H238" s="36" t="e">
        <f aca="false">G238*0.5144</f>
        <v>#NAME?</v>
      </c>
      <c r="I238" s="19" t="n">
        <v>913</v>
      </c>
      <c r="J238" s="18" t="n">
        <v>10</v>
      </c>
      <c r="K238" s="19" t="n">
        <f aca="false">B238-5.13</f>
        <v>0.62</v>
      </c>
    </row>
    <row r="239" customFormat="false" ht="12.75" hidden="false" customHeight="false" outlineLevel="0" collapsed="false">
      <c r="A239" s="19" t="n">
        <v>6</v>
      </c>
      <c r="B239" s="19" t="n">
        <v>6</v>
      </c>
      <c r="C239" s="18" t="n">
        <v>26</v>
      </c>
      <c r="D239" s="18" t="n">
        <v>-89.9</v>
      </c>
      <c r="E239" s="19" t="n">
        <v>120</v>
      </c>
      <c r="F239" s="35" t="n">
        <f aca="false">E239*0.5144</f>
        <v>61.728</v>
      </c>
      <c r="G239" s="22" t="e">
        <f aca="false">arclethnm(C238,D238,C239,D239)/6</f>
        <v>#NAME?</v>
      </c>
      <c r="H239" s="36" t="e">
        <f aca="false">G239*0.5144</f>
        <v>#NAME?</v>
      </c>
      <c r="I239" s="19" t="n">
        <v>915</v>
      </c>
      <c r="J239" s="18" t="n">
        <v>15</v>
      </c>
      <c r="K239" s="19" t="n">
        <f aca="false">B239-5.13</f>
        <v>0.87</v>
      </c>
    </row>
    <row r="240" customFormat="false" ht="12.75" hidden="false" customHeight="false" outlineLevel="0" collapsed="false">
      <c r="A240" s="34" t="n">
        <v>6.25</v>
      </c>
      <c r="B240" s="34" t="n">
        <v>6.25</v>
      </c>
      <c r="C240" s="18" t="n">
        <v>26.5</v>
      </c>
      <c r="D240" s="18" t="n">
        <v>-90.7</v>
      </c>
      <c r="E240" s="19" t="n">
        <v>115</v>
      </c>
      <c r="F240" s="35" t="n">
        <f aca="false">E240*0.5144</f>
        <v>59.156</v>
      </c>
      <c r="G240" s="22" t="e">
        <f aca="false">arclethnm(C239,D239,C240,D240)/6</f>
        <v>#NAME?</v>
      </c>
      <c r="H240" s="36" t="e">
        <f aca="false">G240*0.5144</f>
        <v>#NAME?</v>
      </c>
      <c r="I240" s="19" t="n">
        <v>924</v>
      </c>
      <c r="J240" s="18" t="n">
        <v>20</v>
      </c>
      <c r="K240" s="19" t="n">
        <f aca="false">B240-5.13</f>
        <v>1.12</v>
      </c>
    </row>
    <row r="241" customFormat="false" ht="12.75" hidden="false" customHeight="false" outlineLevel="0" collapsed="false">
      <c r="A241" s="34" t="n">
        <v>6.5</v>
      </c>
      <c r="B241" s="34" t="n">
        <v>6.5</v>
      </c>
      <c r="C241" s="18" t="n">
        <v>27.1</v>
      </c>
      <c r="D241" s="18" t="n">
        <v>-91.5</v>
      </c>
      <c r="E241" s="19" t="n">
        <v>115</v>
      </c>
      <c r="F241" s="35" t="n">
        <f aca="false">E241*0.5144</f>
        <v>59.156</v>
      </c>
      <c r="G241" s="22" t="e">
        <f aca="false">arclethnm(C240,D240,C241,D241)/6</f>
        <v>#NAME?</v>
      </c>
      <c r="H241" s="36" t="e">
        <f aca="false">G241*0.5144</f>
        <v>#NAME?</v>
      </c>
      <c r="I241" s="19" t="n">
        <v>927</v>
      </c>
      <c r="J241" s="18" t="n">
        <v>20</v>
      </c>
      <c r="K241" s="19" t="n">
        <f aca="false">B241-5.13</f>
        <v>1.37</v>
      </c>
    </row>
    <row r="242" customFormat="false" ht="12.75" hidden="false" customHeight="false" outlineLevel="0" collapsed="false">
      <c r="A242" s="34" t="n">
        <v>6.75</v>
      </c>
      <c r="B242" s="34" t="n">
        <v>6.75</v>
      </c>
      <c r="C242" s="18" t="n">
        <v>27.8</v>
      </c>
      <c r="D242" s="18" t="n">
        <v>-92.3</v>
      </c>
      <c r="E242" s="19" t="n">
        <v>110</v>
      </c>
      <c r="F242" s="35" t="n">
        <f aca="false">E242*0.5144</f>
        <v>56.584</v>
      </c>
      <c r="G242" s="22" t="e">
        <f aca="false">arclethnm(C241,D241,C242,D242)/6</f>
        <v>#NAME?</v>
      </c>
      <c r="H242" s="36" t="e">
        <f aca="false">G242*0.5144</f>
        <v>#NAME?</v>
      </c>
      <c r="I242" s="19" t="n">
        <v>930</v>
      </c>
      <c r="J242" s="18" t="n">
        <v>20</v>
      </c>
      <c r="K242" s="19" t="n">
        <f aca="false">B242-5.13</f>
        <v>1.62</v>
      </c>
    </row>
    <row r="243" customFormat="false" ht="12.75" hidden="false" customHeight="false" outlineLevel="0" collapsed="false">
      <c r="A243" s="19" t="n">
        <v>7</v>
      </c>
      <c r="B243" s="19" t="n">
        <v>7</v>
      </c>
      <c r="C243" s="18" t="n">
        <v>28.6</v>
      </c>
      <c r="D243" s="18" t="n">
        <v>-93</v>
      </c>
      <c r="E243" s="19" t="n">
        <v>105</v>
      </c>
      <c r="F243" s="35" t="n">
        <f aca="false">E243*0.5144</f>
        <v>54.012</v>
      </c>
      <c r="G243" s="22" t="e">
        <f aca="false">arclethnm(C242,D242,C243,D243)/6</f>
        <v>#NAME?</v>
      </c>
      <c r="H243" s="36" t="e">
        <f aca="false">G243*0.5144</f>
        <v>#NAME?</v>
      </c>
      <c r="I243" s="19" t="n">
        <v>931</v>
      </c>
      <c r="J243" s="18" t="n">
        <v>20</v>
      </c>
      <c r="K243" s="19" t="n">
        <f aca="false">B243-5.13</f>
        <v>1.87</v>
      </c>
    </row>
    <row r="244" customFormat="false" ht="12.75" hidden="false" customHeight="false" outlineLevel="0" collapsed="false">
      <c r="A244" s="34" t="n">
        <v>7.25</v>
      </c>
      <c r="B244" s="34" t="n">
        <v>7.25</v>
      </c>
      <c r="C244" s="18" t="n">
        <v>29.4</v>
      </c>
      <c r="D244" s="18" t="n">
        <v>-93.6</v>
      </c>
      <c r="E244" s="19" t="n">
        <v>100</v>
      </c>
      <c r="F244" s="35" t="n">
        <f aca="false">E244*0.5144</f>
        <v>51.44</v>
      </c>
      <c r="G244" s="22" t="e">
        <f aca="false">arclethnm(C243,D243,C244,D244)/6</f>
        <v>#NAME?</v>
      </c>
      <c r="H244" s="36" t="e">
        <f aca="false">G244*0.5144</f>
        <v>#NAME?</v>
      </c>
      <c r="I244" s="19" t="n">
        <v>935</v>
      </c>
      <c r="J244" s="18" t="n">
        <v>20</v>
      </c>
      <c r="K244" s="19" t="n">
        <f aca="false">B244-5.13</f>
        <v>2.12</v>
      </c>
    </row>
    <row r="245" customFormat="false" ht="12.75" hidden="false" customHeight="false" outlineLevel="0" collapsed="false">
      <c r="A245" s="19" t="n">
        <v>7.3</v>
      </c>
      <c r="B245" s="19" t="n">
        <v>7.3</v>
      </c>
      <c r="C245" s="18" t="n">
        <v>29.7</v>
      </c>
      <c r="D245" s="18" t="n">
        <v>-93.7</v>
      </c>
      <c r="E245" s="19" t="n">
        <v>100</v>
      </c>
      <c r="F245" s="35" t="n">
        <f aca="false">E245*0.5144</f>
        <v>51.44</v>
      </c>
      <c r="G245" s="22" t="e">
        <f aca="false">arclethnm(C244,D244,C245,D245)/6</f>
        <v>#NAME?</v>
      </c>
      <c r="H245" s="36" t="e">
        <f aca="false">G245*0.5144</f>
        <v>#NAME?</v>
      </c>
      <c r="I245" s="19" t="n">
        <v>937</v>
      </c>
      <c r="J245" s="18" t="n">
        <v>-999</v>
      </c>
      <c r="K245" s="19" t="n">
        <f aca="false">B245-5.13</f>
        <v>2.17</v>
      </c>
    </row>
    <row r="246" customFormat="false" ht="12.75" hidden="false" customHeight="false" outlineLevel="0" collapsed="false">
      <c r="A246" s="19" t="n">
        <v>7.5</v>
      </c>
      <c r="B246" s="19" t="n">
        <v>7.5</v>
      </c>
      <c r="C246" s="18" t="n">
        <v>30.5</v>
      </c>
      <c r="D246" s="18" t="n">
        <v>-94.1</v>
      </c>
      <c r="E246" s="19" t="n">
        <v>65</v>
      </c>
      <c r="F246" s="35" t="n">
        <f aca="false">E246*0.5144</f>
        <v>33.436</v>
      </c>
      <c r="G246" s="22" t="e">
        <f aca="false">arclethnm(C245,D245,C246,D246)/6</f>
        <v>#NAME?</v>
      </c>
      <c r="H246" s="36" t="e">
        <f aca="false">G246*0.5144</f>
        <v>#NAME?</v>
      </c>
      <c r="I246" s="19" t="n">
        <v>949</v>
      </c>
      <c r="J246" s="18" t="n">
        <v>20</v>
      </c>
      <c r="K246" s="19" t="n">
        <f aca="false">B246-5.13</f>
        <v>2.37</v>
      </c>
    </row>
    <row r="247" customFormat="false" ht="12.75" hidden="false" customHeight="false" outlineLevel="0" collapsed="false">
      <c r="A247" s="19" t="n">
        <v>7.75</v>
      </c>
      <c r="B247" s="19" t="n">
        <v>7.75</v>
      </c>
      <c r="C247" s="18" t="n">
        <v>31.6</v>
      </c>
      <c r="D247" s="18" t="n">
        <v>-94.1</v>
      </c>
      <c r="E247" s="19" t="n">
        <v>45</v>
      </c>
      <c r="F247" s="35" t="n">
        <f aca="false">E247*0.5144</f>
        <v>23.148</v>
      </c>
      <c r="G247" s="22" t="e">
        <f aca="false">arclethnm(C246,D246,C247,D247)/6</f>
        <v>#NAME?</v>
      </c>
      <c r="H247" s="36" t="e">
        <f aca="false">G247*0.5144</f>
        <v>#NAME?</v>
      </c>
      <c r="I247" s="19" t="n">
        <v>974</v>
      </c>
      <c r="J247" s="18" t="n">
        <v>20</v>
      </c>
      <c r="K247" s="19" t="n">
        <f aca="false">B247-5.13</f>
        <v>2.62</v>
      </c>
    </row>
    <row r="248" customFormat="false" ht="12.75" hidden="false" customHeight="false" outlineLevel="0" collapsed="false">
      <c r="A248" s="19" t="n">
        <v>8</v>
      </c>
      <c r="B248" s="19" t="n">
        <v>8</v>
      </c>
      <c r="C248" s="18" t="n">
        <v>32.7</v>
      </c>
      <c r="D248" s="18" t="n">
        <v>-94</v>
      </c>
      <c r="E248" s="19" t="n">
        <v>35</v>
      </c>
      <c r="F248" s="35" t="n">
        <f aca="false">E248*0.5144</f>
        <v>18.004</v>
      </c>
      <c r="G248" s="22" t="e">
        <f aca="false">arclethnm(C247,D247,C248,D248)/6</f>
        <v>#NAME?</v>
      </c>
      <c r="H248" s="36" t="e">
        <f aca="false">G248*0.5144</f>
        <v>#NAME?</v>
      </c>
      <c r="I248" s="19" t="n">
        <v>982</v>
      </c>
      <c r="J248" s="18" t="n">
        <v>30</v>
      </c>
      <c r="K248" s="19" t="n">
        <f aca="false">B248-5.13</f>
        <v>2.87</v>
      </c>
    </row>
    <row r="249" customFormat="false" ht="12.75" hidden="false" customHeight="false" outlineLevel="0" collapsed="false">
      <c r="A249" s="19" t="n">
        <v>8.25</v>
      </c>
      <c r="B249" s="19" t="n">
        <v>8.25</v>
      </c>
      <c r="C249" s="18" t="n">
        <v>33.7</v>
      </c>
      <c r="D249" s="18" t="n">
        <v>-93.6</v>
      </c>
      <c r="E249" s="19" t="n">
        <v>30</v>
      </c>
      <c r="F249" s="35" t="n">
        <f aca="false">E249*0.5144</f>
        <v>15.432</v>
      </c>
      <c r="G249" s="22" t="e">
        <f aca="false">arclethnm(C248,D248,C249,D249)/6</f>
        <v>#NAME?</v>
      </c>
      <c r="H249" s="36" t="e">
        <f aca="false">G249*0.5144</f>
        <v>#NAME?</v>
      </c>
      <c r="I249" s="19" t="n">
        <v>989</v>
      </c>
      <c r="J249" s="18" t="n">
        <v>0</v>
      </c>
      <c r="K249" s="19" t="n">
        <f aca="false">B249-5.13</f>
        <v>3.12</v>
      </c>
    </row>
    <row r="250" customFormat="false" ht="12.75" hidden="false" customHeight="false" outlineLevel="0" collapsed="false">
      <c r="A250" s="19" t="n">
        <v>8.5</v>
      </c>
      <c r="B250" s="19" t="n">
        <v>8.5</v>
      </c>
      <c r="C250" s="18" t="n">
        <v>34.7</v>
      </c>
      <c r="D250" s="18" t="n">
        <v>-92.5</v>
      </c>
      <c r="E250" s="19" t="n">
        <v>25</v>
      </c>
      <c r="F250" s="35" t="n">
        <f aca="false">E250*0.5144</f>
        <v>12.86</v>
      </c>
      <c r="G250" s="22" t="e">
        <f aca="false">arclethnm(C249,D249,C250,D250)/6</f>
        <v>#NAME?</v>
      </c>
      <c r="H250" s="36" t="e">
        <f aca="false">G250*0.5144</f>
        <v>#NAME?</v>
      </c>
      <c r="I250" s="19" t="n">
        <v>995</v>
      </c>
      <c r="J250" s="18" t="n">
        <v>0</v>
      </c>
      <c r="K250" s="19" t="n">
        <f aca="false">B250-5.13</f>
        <v>3.37</v>
      </c>
    </row>
    <row r="251" customFormat="false" ht="12.75" hidden="false" customHeight="false" outlineLevel="0" collapsed="false">
      <c r="A251" s="19" t="n">
        <v>8.75</v>
      </c>
      <c r="B251" s="19" t="n">
        <v>8.75</v>
      </c>
      <c r="C251" s="18" t="n">
        <v>35.8</v>
      </c>
      <c r="D251" s="18" t="n">
        <v>-91.4</v>
      </c>
      <c r="E251" s="19" t="n">
        <v>25</v>
      </c>
      <c r="F251" s="35" t="n">
        <f aca="false">E251*0.5144</f>
        <v>12.86</v>
      </c>
      <c r="G251" s="22" t="e">
        <f aca="false">arclethnm(C250,D250,C251,D251)/6</f>
        <v>#NAME?</v>
      </c>
      <c r="H251" s="36" t="e">
        <f aca="false">G251*0.5144</f>
        <v>#NAME?</v>
      </c>
      <c r="I251" s="19" t="n">
        <v>1000</v>
      </c>
      <c r="J251" s="18" t="n">
        <v>0</v>
      </c>
      <c r="K251" s="19" t="n">
        <f aca="false">B251-5.13</f>
        <v>3.62</v>
      </c>
    </row>
    <row r="252" customFormat="false" ht="12.75" hidden="false" customHeight="false" outlineLevel="0" collapsed="false">
      <c r="A252" s="19" t="n">
        <v>9</v>
      </c>
      <c r="B252" s="19" t="n">
        <v>9</v>
      </c>
      <c r="C252" s="18" t="n">
        <v>37</v>
      </c>
      <c r="D252" s="18" t="n">
        <v>-90.1</v>
      </c>
      <c r="E252" s="19" t="n">
        <v>20</v>
      </c>
      <c r="F252" s="35" t="n">
        <f aca="false">E252*0.5144</f>
        <v>10.288</v>
      </c>
      <c r="G252" s="22" t="e">
        <f aca="false">arclethnm(C251,D251,C252,D252)/6</f>
        <v>#NAME?</v>
      </c>
      <c r="H252" s="36" t="e">
        <f aca="false">G252*0.5144</f>
        <v>#NAME?</v>
      </c>
      <c r="I252" s="19" t="n">
        <v>1003</v>
      </c>
      <c r="J252" s="18" t="n">
        <v>0</v>
      </c>
      <c r="K252" s="19" t="n">
        <f aca="false">B252-5.13</f>
        <v>3.87</v>
      </c>
    </row>
    <row r="253" customFormat="false" ht="12.75" hidden="false" customHeight="false" outlineLevel="0" collapsed="false">
      <c r="A253" s="19" t="n">
        <v>9.25</v>
      </c>
      <c r="B253" s="19" t="n">
        <v>9.25</v>
      </c>
      <c r="C253" s="18" t="n">
        <v>39.5</v>
      </c>
      <c r="D253" s="18" t="n">
        <v>-88</v>
      </c>
      <c r="E253" s="19" t="n">
        <v>20</v>
      </c>
      <c r="F253" s="35" t="n">
        <f aca="false">E253*0.5144</f>
        <v>10.288</v>
      </c>
      <c r="G253" s="22" t="e">
        <f aca="false">arclethnm(C252,D252,C253,D253)/6</f>
        <v>#NAME?</v>
      </c>
      <c r="H253" s="36" t="e">
        <f aca="false">G253*0.5144</f>
        <v>#NAME?</v>
      </c>
      <c r="I253" s="19" t="n">
        <v>1006</v>
      </c>
      <c r="J253" s="18" t="n">
        <v>0</v>
      </c>
      <c r="K253" s="19" t="n">
        <f aca="false">B253-5.13</f>
        <v>4.12</v>
      </c>
    </row>
    <row r="254" customFormat="false" ht="12.75" hidden="false" customHeight="false" outlineLevel="0" collapsed="false">
      <c r="A254" s="0"/>
      <c r="B254" s="0"/>
      <c r="C254" s="0"/>
      <c r="D254" s="0"/>
      <c r="E254" s="0"/>
      <c r="F254" s="0"/>
      <c r="G254" s="22"/>
      <c r="H254" s="36"/>
      <c r="I254" s="0"/>
      <c r="J254" s="0"/>
      <c r="K254" s="0"/>
    </row>
    <row r="255" customFormat="false" ht="12.75" hidden="false" customHeight="false" outlineLevel="0" collapsed="false">
      <c r="A255" s="0"/>
      <c r="B255" s="20" t="s">
        <v>161</v>
      </c>
      <c r="C255" s="20"/>
      <c r="D255" s="20"/>
      <c r="E255" s="20" t="s">
        <v>50</v>
      </c>
      <c r="F255" s="0"/>
      <c r="G255" s="22"/>
      <c r="H255" s="36"/>
      <c r="I255" s="0"/>
      <c r="J255" s="0"/>
      <c r="K255" s="0"/>
    </row>
    <row r="256" customFormat="false" ht="12.75" hidden="false" customHeight="false" outlineLevel="0" collapsed="false">
      <c r="A256" s="19" t="n">
        <v>1</v>
      </c>
      <c r="B256" s="19" t="n">
        <v>1.25</v>
      </c>
      <c r="C256" s="18" t="n">
        <v>27.3</v>
      </c>
      <c r="D256" s="18" t="n">
        <v>-95</v>
      </c>
      <c r="E256" s="19" t="n">
        <v>25</v>
      </c>
      <c r="F256" s="35" t="n">
        <f aca="false">E256*0.5144</f>
        <v>12.86</v>
      </c>
      <c r="G256" s="22"/>
      <c r="H256" s="36"/>
      <c r="I256" s="19" t="n">
        <v>1009</v>
      </c>
      <c r="J256" s="18" t="n">
        <v>60</v>
      </c>
      <c r="K256" s="19" t="n">
        <f aca="false">B256-2.29</f>
        <v>-1.04</v>
      </c>
    </row>
    <row r="257" customFormat="false" ht="12.75" hidden="false" customHeight="false" outlineLevel="0" collapsed="false">
      <c r="A257" s="19" t="n">
        <f aca="false">B257-0.25</f>
        <v>1.25</v>
      </c>
      <c r="B257" s="19" t="n">
        <v>1.5</v>
      </c>
      <c r="C257" s="18" t="n">
        <v>27.8</v>
      </c>
      <c r="D257" s="18" t="n">
        <v>-95.1</v>
      </c>
      <c r="E257" s="19" t="n">
        <v>35</v>
      </c>
      <c r="F257" s="35" t="n">
        <f aca="false">E257*0.5144</f>
        <v>18.004</v>
      </c>
      <c r="G257" s="22" t="e">
        <f aca="false">arclethnm(C256,D256,C257,D257)/6</f>
        <v>#NAME?</v>
      </c>
      <c r="H257" s="36" t="e">
        <f aca="false">G257*0.5144</f>
        <v>#NAME?</v>
      </c>
      <c r="I257" s="19" t="n">
        <v>1006</v>
      </c>
      <c r="J257" s="18" t="n">
        <v>60</v>
      </c>
      <c r="K257" s="19" t="n">
        <f aca="false">B257-2.29</f>
        <v>-0.79</v>
      </c>
    </row>
    <row r="258" customFormat="false" ht="12.75" hidden="false" customHeight="false" outlineLevel="0" collapsed="false">
      <c r="A258" s="19" t="n">
        <f aca="false">B258-0.25</f>
        <v>1.5</v>
      </c>
      <c r="B258" s="19" t="n">
        <v>1.75</v>
      </c>
      <c r="C258" s="18" t="n">
        <v>28.3</v>
      </c>
      <c r="D258" s="18" t="n">
        <v>-95</v>
      </c>
      <c r="E258" s="19" t="n">
        <v>45</v>
      </c>
      <c r="F258" s="35" t="n">
        <f aca="false">E258*0.5144</f>
        <v>23.148</v>
      </c>
      <c r="G258" s="22" t="e">
        <f aca="false">arclethnm(C257,D257,C258,D258)/6</f>
        <v>#NAME?</v>
      </c>
      <c r="H258" s="36" t="e">
        <f aca="false">G258*0.5144</f>
        <v>#NAME?</v>
      </c>
      <c r="I258" s="19" t="n">
        <v>1001</v>
      </c>
      <c r="J258" s="18" t="n">
        <v>50</v>
      </c>
      <c r="K258" s="19" t="n">
        <f aca="false">B258-2.29</f>
        <v>-0.54</v>
      </c>
    </row>
    <row r="259" customFormat="false" ht="12.75" hidden="false" customHeight="false" outlineLevel="0" collapsed="false">
      <c r="A259" s="19" t="n">
        <f aca="false">B259-0.25</f>
        <v>1.75</v>
      </c>
      <c r="B259" s="19" t="n">
        <v>2</v>
      </c>
      <c r="C259" s="18" t="n">
        <v>28.8</v>
      </c>
      <c r="D259" s="18" t="n">
        <v>-94.8</v>
      </c>
      <c r="E259" s="19" t="n">
        <v>55</v>
      </c>
      <c r="F259" s="35" t="n">
        <f aca="false">E259*0.5144</f>
        <v>28.292</v>
      </c>
      <c r="G259" s="22" t="e">
        <f aca="false">arclethnm(C258,D258,C259,D259)/6</f>
        <v>#NAME?</v>
      </c>
      <c r="H259" s="36" t="e">
        <f aca="false">G259*0.5144</f>
        <v>#NAME?</v>
      </c>
      <c r="I259" s="19" t="n">
        <v>997</v>
      </c>
      <c r="J259" s="18" t="n">
        <v>20</v>
      </c>
      <c r="K259" s="19" t="n">
        <f aca="false">B259-2.29</f>
        <v>-0.29</v>
      </c>
    </row>
    <row r="260" customFormat="false" ht="12.75" hidden="false" customHeight="false" outlineLevel="0" collapsed="false">
      <c r="A260" s="19" t="n">
        <f aca="false">B260-0.25</f>
        <v>2</v>
      </c>
      <c r="B260" s="19" t="n">
        <v>2.25</v>
      </c>
      <c r="C260" s="18" t="n">
        <v>29.5</v>
      </c>
      <c r="D260" s="18" t="n">
        <v>-94.4</v>
      </c>
      <c r="E260" s="19" t="n">
        <v>80</v>
      </c>
      <c r="F260" s="35" t="n">
        <f aca="false">E260*0.5144</f>
        <v>41.152</v>
      </c>
      <c r="G260" s="22" t="e">
        <f aca="false">arclethnm(C259,D259,C260,D260)/6</f>
        <v>#NAME?</v>
      </c>
      <c r="H260" s="36" t="e">
        <f aca="false">G260*0.5144</f>
        <v>#NAME?</v>
      </c>
      <c r="I260" s="20" t="n">
        <v>985</v>
      </c>
      <c r="J260" s="18" t="n">
        <v>15</v>
      </c>
      <c r="K260" s="19" t="n">
        <f aca="false">B260-2.29</f>
        <v>-0.04</v>
      </c>
    </row>
    <row r="261" customFormat="false" ht="12.75" hidden="false" customHeight="false" outlineLevel="0" collapsed="false">
      <c r="A261" s="19" t="n">
        <f aca="false">B261-0.25</f>
        <v>2.04</v>
      </c>
      <c r="B261" s="19" t="n">
        <v>2.29</v>
      </c>
      <c r="C261" s="18" t="n">
        <v>29.6</v>
      </c>
      <c r="D261" s="18" t="n">
        <v>-94.3</v>
      </c>
      <c r="E261" s="19" t="n">
        <v>80</v>
      </c>
      <c r="F261" s="35" t="n">
        <f aca="false">E261*0.5144</f>
        <v>41.152</v>
      </c>
      <c r="G261" s="22" t="e">
        <f aca="false">arclethnm(C260,D260,C261,D261)/6</f>
        <v>#NAME?</v>
      </c>
      <c r="H261" s="36" t="e">
        <f aca="false">G261*0.5144</f>
        <v>#NAME?</v>
      </c>
      <c r="I261" s="20" t="n">
        <v>985</v>
      </c>
      <c r="J261" s="18" t="n">
        <v>-999</v>
      </c>
      <c r="K261" s="19" t="n">
        <v>0</v>
      </c>
    </row>
    <row r="262" customFormat="false" ht="12.75" hidden="false" customHeight="false" outlineLevel="0" collapsed="false">
      <c r="A262" s="19" t="n">
        <f aca="false">B262-0.25</f>
        <v>2.25</v>
      </c>
      <c r="B262" s="19" t="n">
        <v>2.5</v>
      </c>
      <c r="C262" s="18" t="n">
        <v>30.3</v>
      </c>
      <c r="D262" s="18" t="n">
        <v>-93.6</v>
      </c>
      <c r="E262" s="19" t="n">
        <v>65</v>
      </c>
      <c r="F262" s="35" t="n">
        <f aca="false">E262*0.5144</f>
        <v>33.436</v>
      </c>
      <c r="G262" s="22" t="e">
        <f aca="false">arclethnm(C261,D261,C262,D262)/6</f>
        <v>#NAME?</v>
      </c>
      <c r="H262" s="36" t="e">
        <f aca="false">G262*0.5144</f>
        <v>#NAME?</v>
      </c>
      <c r="I262" s="19" t="n">
        <v>989</v>
      </c>
      <c r="J262" s="18" t="n">
        <v>10</v>
      </c>
      <c r="K262" s="19" t="n">
        <f aca="false">B262-2.29</f>
        <v>0.21</v>
      </c>
    </row>
    <row r="263" customFormat="false" ht="23.75" hidden="false" customHeight="false" outlineLevel="0" collapsed="false">
      <c r="A263" s="19" t="n">
        <f aca="false">B263-0.25</f>
        <v>2.5</v>
      </c>
      <c r="B263" s="19" t="n">
        <v>2.75</v>
      </c>
      <c r="C263" s="18" t="n">
        <v>31</v>
      </c>
      <c r="D263" s="18" t="n">
        <v>-92.9</v>
      </c>
      <c r="E263" s="19" t="n">
        <v>35</v>
      </c>
      <c r="F263" s="35" t="n">
        <f aca="false">E263*0.5144</f>
        <v>18.004</v>
      </c>
      <c r="G263" s="22" t="e">
        <f aca="false">arclethnm(C262,D262,C263,D263)/6</f>
        <v>#NAME?</v>
      </c>
      <c r="H263" s="36" t="e">
        <f aca="false">G263*0.5144</f>
        <v>#NAME?</v>
      </c>
      <c r="I263" s="19" t="n">
        <v>1000</v>
      </c>
      <c r="J263" s="18" t="n">
        <v>15</v>
      </c>
      <c r="K263" s="19" t="n">
        <f aca="false">B263-2.29</f>
        <v>0.46</v>
      </c>
    </row>
    <row r="264" customFormat="false" ht="12.8" hidden="false" customHeight="false" outlineLevel="0" collapsed="false">
      <c r="A264" s="19" t="n">
        <f aca="false">B264-0.25</f>
        <v>2.75</v>
      </c>
      <c r="B264" s="19" t="n">
        <v>3</v>
      </c>
      <c r="C264" s="18" t="n">
        <v>31.7</v>
      </c>
      <c r="D264" s="18" t="n">
        <v>-92.3</v>
      </c>
      <c r="E264" s="19" t="n">
        <v>25</v>
      </c>
      <c r="F264" s="35" t="n">
        <f aca="false">E264*0.5144</f>
        <v>12.86</v>
      </c>
      <c r="G264" s="22" t="e">
        <f aca="false">arclethnm(C263,D263,C264,D264)/6</f>
        <v>#NAME?</v>
      </c>
      <c r="H264" s="36" t="e">
        <f aca="false">G264*0.5144</f>
        <v>#NAME?</v>
      </c>
      <c r="I264" s="19" t="n">
        <v>1006</v>
      </c>
      <c r="J264" s="18" t="n">
        <v>0</v>
      </c>
      <c r="K264" s="19" t="n">
        <f aca="false">B264-2.29</f>
        <v>0.71</v>
      </c>
    </row>
    <row r="265" customFormat="false" ht="23.75" hidden="false" customHeight="false" outlineLevel="0" collapsed="false">
      <c r="A265" s="19" t="n">
        <f aca="false">B265-0.25</f>
        <v>3</v>
      </c>
      <c r="B265" s="19" t="n">
        <v>3.25</v>
      </c>
      <c r="C265" s="18" t="n">
        <v>32.4</v>
      </c>
      <c r="D265" s="18" t="n">
        <v>-91.3</v>
      </c>
      <c r="E265" s="19" t="n">
        <v>20</v>
      </c>
      <c r="F265" s="35" t="n">
        <f aca="false">E265*0.5144</f>
        <v>10.288</v>
      </c>
      <c r="G265" s="22" t="e">
        <f aca="false">arclethnm(C264,D264,C265,D265)/6</f>
        <v>#NAME?</v>
      </c>
      <c r="H265" s="36" t="e">
        <f aca="false">G265*0.5144</f>
        <v>#NAME?</v>
      </c>
      <c r="I265" s="19" t="n">
        <v>1009</v>
      </c>
      <c r="J265" s="18" t="n">
        <v>0</v>
      </c>
      <c r="K265" s="19" t="n">
        <f aca="false">B265-2.29</f>
        <v>0.96</v>
      </c>
    </row>
    <row r="266" customFormat="false" ht="24.45" hidden="false" customHeight="false" outlineLevel="0" collapsed="false">
      <c r="A266" s="19" t="n">
        <f aca="false">B266-0.25</f>
        <v>3.25</v>
      </c>
      <c r="B266" s="19" t="n">
        <v>3.5</v>
      </c>
      <c r="C266" s="18" t="n">
        <v>32.7</v>
      </c>
      <c r="D266" s="18" t="n">
        <v>-90.2</v>
      </c>
      <c r="E266" s="19" t="n">
        <v>20</v>
      </c>
      <c r="F266" s="35" t="n">
        <f aca="false">E266*0.5144</f>
        <v>10.288</v>
      </c>
      <c r="G266" s="22" t="e">
        <f aca="false">arclethnm(C265,D265,C266,D266)/6</f>
        <v>#NAME?</v>
      </c>
      <c r="H266" s="36" t="e">
        <f aca="false">G266*0.5144</f>
        <v>#NAME?</v>
      </c>
      <c r="I266" s="19" t="n">
        <v>1012</v>
      </c>
      <c r="J266" s="18" t="n">
        <v>0</v>
      </c>
      <c r="K266" s="19" t="n">
        <f aca="false">B266-2.29</f>
        <v>1.21</v>
      </c>
    </row>
    <row r="267" customFormat="false" ht="12.75" hidden="false" customHeight="false" outlineLevel="0" collapsed="false">
      <c r="A267" s="0"/>
      <c r="B267" s="0"/>
      <c r="C267" s="0"/>
      <c r="D267" s="0"/>
      <c r="E267" s="0"/>
      <c r="F267" s="0"/>
      <c r="G267" s="22"/>
      <c r="H267" s="36"/>
      <c r="I267" s="0"/>
      <c r="J267" s="0"/>
      <c r="K267" s="0"/>
    </row>
    <row r="268" customFormat="false" ht="12.75" hidden="false" customHeight="false" outlineLevel="0" collapsed="false">
      <c r="A268" s="0"/>
      <c r="B268" s="20" t="s">
        <v>162</v>
      </c>
      <c r="C268" s="20"/>
      <c r="D268" s="20"/>
      <c r="E268" s="20" t="s">
        <v>52</v>
      </c>
      <c r="F268" s="0"/>
      <c r="G268" s="22"/>
      <c r="H268" s="36"/>
      <c r="I268" s="0"/>
      <c r="J268" s="0"/>
      <c r="K268" s="0"/>
    </row>
    <row r="269" customFormat="false" ht="12.75" hidden="false" customHeight="false" outlineLevel="0" collapsed="false">
      <c r="A269" s="34" t="n">
        <f aca="false">B269-0.5</f>
        <v>1</v>
      </c>
      <c r="B269" s="19" t="n">
        <v>1.5</v>
      </c>
      <c r="C269" s="18" t="n">
        <v>17.8</v>
      </c>
      <c r="D269" s="18" t="n">
        <v>-83.6</v>
      </c>
      <c r="E269" s="19" t="n">
        <v>40</v>
      </c>
      <c r="F269" s="35" t="n">
        <f aca="false">E269*0.5144</f>
        <v>20.576</v>
      </c>
      <c r="G269" s="22"/>
      <c r="H269" s="36"/>
      <c r="I269" s="18" t="n">
        <v>1008</v>
      </c>
      <c r="J269" s="18" t="n">
        <v>90</v>
      </c>
      <c r="K269" s="19" t="n">
        <f aca="false">B269-4.5</f>
        <v>-3</v>
      </c>
    </row>
    <row r="270" customFormat="false" ht="12.75" hidden="false" customHeight="false" outlineLevel="0" collapsed="false">
      <c r="A270" s="34" t="n">
        <f aca="false">B270-0.5</f>
        <v>1.25</v>
      </c>
      <c r="B270" s="19" t="n">
        <v>1.75</v>
      </c>
      <c r="C270" s="18" t="n">
        <v>18.6</v>
      </c>
      <c r="D270" s="18" t="n">
        <v>-84.6</v>
      </c>
      <c r="E270" s="19" t="n">
        <v>40</v>
      </c>
      <c r="F270" s="35" t="n">
        <f aca="false">E270*0.5144</f>
        <v>20.576</v>
      </c>
      <c r="G270" s="22" t="e">
        <f aca="false">arclethnm(C269,D269,C270,D270)/6</f>
        <v>#NAME?</v>
      </c>
      <c r="H270" s="36" t="e">
        <f aca="false">G270*0.5144</f>
        <v>#NAME?</v>
      </c>
      <c r="I270" s="18" t="n">
        <v>1008</v>
      </c>
      <c r="J270" s="18" t="n">
        <v>100</v>
      </c>
      <c r="K270" s="19" t="n">
        <f aca="false">B270-4.5</f>
        <v>-2.75</v>
      </c>
    </row>
    <row r="271" customFormat="false" ht="12.75" hidden="false" customHeight="false" outlineLevel="0" collapsed="false">
      <c r="A271" s="34" t="n">
        <f aca="false">B271-0.5</f>
        <v>1.5</v>
      </c>
      <c r="B271" s="19" t="n">
        <v>2</v>
      </c>
      <c r="C271" s="18" t="n">
        <v>19.8</v>
      </c>
      <c r="D271" s="18" t="n">
        <v>-85.8</v>
      </c>
      <c r="E271" s="19" t="n">
        <v>45</v>
      </c>
      <c r="F271" s="35" t="n">
        <f aca="false">E271*0.5144</f>
        <v>23.148</v>
      </c>
      <c r="G271" s="22" t="e">
        <f aca="false">arclethnm(C270,D270,C271,D271)/6</f>
        <v>#NAME?</v>
      </c>
      <c r="H271" s="36" t="e">
        <f aca="false">G271*0.5144</f>
        <v>#NAME?</v>
      </c>
      <c r="I271" s="18" t="n">
        <v>1007</v>
      </c>
      <c r="J271" s="18" t="n">
        <v>75</v>
      </c>
      <c r="K271" s="19" t="n">
        <f aca="false">B271-4.5</f>
        <v>-2.5</v>
      </c>
    </row>
    <row r="272" customFormat="false" ht="12.75" hidden="false" customHeight="false" outlineLevel="0" collapsed="false">
      <c r="A272" s="34" t="n">
        <f aca="false">B272-0.5</f>
        <v>1.72</v>
      </c>
      <c r="B272" s="19" t="n">
        <v>2.22</v>
      </c>
      <c r="C272" s="18" t="n">
        <v>20.9</v>
      </c>
      <c r="D272" s="18" t="n">
        <v>-87.2</v>
      </c>
      <c r="E272" s="19" t="n">
        <v>45</v>
      </c>
      <c r="F272" s="35" t="n">
        <f aca="false">E272*0.5144</f>
        <v>23.148</v>
      </c>
      <c r="G272" s="22" t="e">
        <f aca="false">arclethnm(C271,D271,C272,D272)/6</f>
        <v>#NAME?</v>
      </c>
      <c r="H272" s="36" t="e">
        <f aca="false">G272*0.5144</f>
        <v>#NAME?</v>
      </c>
      <c r="I272" s="18" t="n">
        <v>1007</v>
      </c>
      <c r="J272" s="18" t="n">
        <v>-999</v>
      </c>
      <c r="K272" s="19" t="n">
        <f aca="false">B272-4.5</f>
        <v>-2.28</v>
      </c>
    </row>
    <row r="273" customFormat="false" ht="12.75" hidden="false" customHeight="false" outlineLevel="0" collapsed="false">
      <c r="A273" s="34" t="n">
        <f aca="false">B273-0.5</f>
        <v>1.75</v>
      </c>
      <c r="B273" s="19" t="n">
        <v>2.25</v>
      </c>
      <c r="C273" s="18" t="n">
        <v>21.8</v>
      </c>
      <c r="D273" s="18" t="n">
        <v>-88.8</v>
      </c>
      <c r="E273" s="19" t="n">
        <v>45</v>
      </c>
      <c r="F273" s="35" t="n">
        <f aca="false">E273*0.5144</f>
        <v>23.148</v>
      </c>
      <c r="G273" s="22" t="e">
        <f aca="false">arclethnm(C272,D272,C273,D273)/6</f>
        <v>#NAME?</v>
      </c>
      <c r="H273" s="36" t="e">
        <f aca="false">G273*0.5144</f>
        <v>#NAME?</v>
      </c>
      <c r="I273" s="18" t="n">
        <v>1005</v>
      </c>
      <c r="J273" s="18" t="n">
        <v>75</v>
      </c>
      <c r="K273" s="19" t="n">
        <f aca="false">B273-4.5</f>
        <v>-2.25</v>
      </c>
    </row>
    <row r="274" customFormat="false" ht="12.75" hidden="false" customHeight="false" outlineLevel="0" collapsed="false">
      <c r="A274" s="34" t="n">
        <f aca="false">B274-0.5</f>
        <v>2</v>
      </c>
      <c r="B274" s="19" t="n">
        <v>2.5</v>
      </c>
      <c r="C274" s="18" t="n">
        <v>22.8</v>
      </c>
      <c r="D274" s="18" t="n">
        <v>-90.4</v>
      </c>
      <c r="E274" s="19" t="n">
        <v>45</v>
      </c>
      <c r="F274" s="35" t="n">
        <f aca="false">E274*0.5144</f>
        <v>23.148</v>
      </c>
      <c r="G274" s="22" t="e">
        <f aca="false">arclethnm(C273,D273,C274,D274)/6</f>
        <v>#NAME?</v>
      </c>
      <c r="H274" s="36" t="e">
        <f aca="false">G274*0.5144</f>
        <v>#NAME?</v>
      </c>
      <c r="I274" s="18" t="n">
        <v>1005</v>
      </c>
      <c r="J274" s="18" t="n">
        <v>75</v>
      </c>
      <c r="K274" s="19" t="n">
        <f aca="false">B274-4.5</f>
        <v>-2</v>
      </c>
    </row>
    <row r="275" customFormat="false" ht="12.75" hidden="false" customHeight="false" outlineLevel="0" collapsed="false">
      <c r="A275" s="34" t="n">
        <f aca="false">B275-0.5</f>
        <v>2.25</v>
      </c>
      <c r="B275" s="19" t="n">
        <v>2.75</v>
      </c>
      <c r="C275" s="18" t="n">
        <v>23</v>
      </c>
      <c r="D275" s="18" t="n">
        <v>-92</v>
      </c>
      <c r="E275" s="19" t="n">
        <v>45</v>
      </c>
      <c r="F275" s="35" t="n">
        <f aca="false">E275*0.5144</f>
        <v>23.148</v>
      </c>
      <c r="G275" s="22" t="e">
        <f aca="false">arclethnm(C274,D274,C275,D275)/6</f>
        <v>#NAME?</v>
      </c>
      <c r="H275" s="36" t="e">
        <f aca="false">G275*0.5144</f>
        <v>#NAME?</v>
      </c>
      <c r="I275" s="18" t="n">
        <v>1000</v>
      </c>
      <c r="J275" s="18" t="n">
        <v>45</v>
      </c>
      <c r="K275" s="19" t="n">
        <f aca="false">B275-4.5</f>
        <v>-1.75</v>
      </c>
    </row>
    <row r="276" customFormat="false" ht="12.75" hidden="false" customHeight="false" outlineLevel="0" collapsed="false">
      <c r="A276" s="34" t="n">
        <f aca="false">B276-0.5</f>
        <v>2.5</v>
      </c>
      <c r="B276" s="19" t="n">
        <v>3</v>
      </c>
      <c r="C276" s="18" t="n">
        <v>23.2</v>
      </c>
      <c r="D276" s="18" t="n">
        <v>-93.3</v>
      </c>
      <c r="E276" s="19" t="n">
        <v>45</v>
      </c>
      <c r="F276" s="35" t="n">
        <f aca="false">E276*0.5144</f>
        <v>23.148</v>
      </c>
      <c r="G276" s="22" t="e">
        <f aca="false">arclethnm(C275,D275,C276,D276)/6</f>
        <v>#NAME?</v>
      </c>
      <c r="H276" s="36" t="e">
        <f aca="false">G276*0.5144</f>
        <v>#NAME?</v>
      </c>
      <c r="I276" s="18" t="n">
        <v>999</v>
      </c>
      <c r="J276" s="18" t="n">
        <v>45</v>
      </c>
      <c r="K276" s="19" t="n">
        <f aca="false">B276-4.5</f>
        <v>-1.5</v>
      </c>
    </row>
    <row r="277" customFormat="false" ht="12.75" hidden="false" customHeight="false" outlineLevel="0" collapsed="false">
      <c r="A277" s="34" t="n">
        <f aca="false">B277-0.5</f>
        <v>2.75</v>
      </c>
      <c r="B277" s="19" t="n">
        <v>3.25</v>
      </c>
      <c r="C277" s="18" t="n">
        <v>23.7</v>
      </c>
      <c r="D277" s="18" t="n">
        <v>-94.1</v>
      </c>
      <c r="E277" s="19" t="n">
        <v>45</v>
      </c>
      <c r="F277" s="35" t="n">
        <f aca="false">E277*0.5144</f>
        <v>23.148</v>
      </c>
      <c r="G277" s="22" t="e">
        <f aca="false">arclethnm(C276,D276,C277,D277)/6</f>
        <v>#NAME?</v>
      </c>
      <c r="H277" s="36" t="e">
        <f aca="false">G277*0.5144</f>
        <v>#NAME?</v>
      </c>
      <c r="I277" s="18" t="n">
        <v>993</v>
      </c>
      <c r="J277" s="18" t="n">
        <v>45</v>
      </c>
      <c r="K277" s="19" t="n">
        <f aca="false">B277-4.5</f>
        <v>-1.25</v>
      </c>
    </row>
    <row r="278" customFormat="false" ht="12.75" hidden="false" customHeight="false" outlineLevel="0" collapsed="false">
      <c r="A278" s="34" t="n">
        <f aca="false">B278-0.5</f>
        <v>3</v>
      </c>
      <c r="B278" s="19" t="n">
        <v>3.5</v>
      </c>
      <c r="C278" s="18" t="n">
        <v>24.3</v>
      </c>
      <c r="D278" s="18" t="n">
        <v>-94.9</v>
      </c>
      <c r="E278" s="19" t="n">
        <v>55</v>
      </c>
      <c r="F278" s="35" t="n">
        <f aca="false">E278*0.5144</f>
        <v>28.292</v>
      </c>
      <c r="G278" s="22" t="e">
        <f aca="false">arclethnm(C277,D277,C278,D278)/6</f>
        <v>#NAME?</v>
      </c>
      <c r="H278" s="36" t="e">
        <f aca="false">G278*0.5144</f>
        <v>#NAME?</v>
      </c>
      <c r="I278" s="18" t="n">
        <v>990</v>
      </c>
      <c r="J278" s="18" t="n">
        <v>45</v>
      </c>
      <c r="K278" s="19" t="n">
        <f aca="false">B278-4.5</f>
        <v>-1</v>
      </c>
    </row>
    <row r="279" customFormat="false" ht="12.75" hidden="false" customHeight="false" outlineLevel="0" collapsed="false">
      <c r="A279" s="34" t="n">
        <f aca="false">B279-0.5</f>
        <v>3.25</v>
      </c>
      <c r="B279" s="19" t="n">
        <v>3.75</v>
      </c>
      <c r="C279" s="18" t="n">
        <v>24.9</v>
      </c>
      <c r="D279" s="18" t="n">
        <v>-95.7</v>
      </c>
      <c r="E279" s="19" t="n">
        <v>60</v>
      </c>
      <c r="F279" s="35" t="n">
        <f aca="false">E279*0.5144</f>
        <v>30.864</v>
      </c>
      <c r="G279" s="22" t="e">
        <f aca="false">arclethnm(C278,D278,C279,D279)/6</f>
        <v>#NAME?</v>
      </c>
      <c r="H279" s="36" t="e">
        <f aca="false">G279*0.5144</f>
        <v>#NAME?</v>
      </c>
      <c r="I279" s="18" t="n">
        <v>982</v>
      </c>
      <c r="J279" s="18" t="n">
        <v>15</v>
      </c>
      <c r="K279" s="19" t="n">
        <f aca="false">B279-4.5</f>
        <v>-0.75</v>
      </c>
    </row>
    <row r="280" customFormat="false" ht="12.75" hidden="false" customHeight="false" outlineLevel="0" collapsed="false">
      <c r="A280" s="34" t="n">
        <f aca="false">B280-0.5</f>
        <v>3.5</v>
      </c>
      <c r="B280" s="19" t="n">
        <v>4</v>
      </c>
      <c r="C280" s="18" t="n">
        <v>25.4</v>
      </c>
      <c r="D280" s="18" t="n">
        <v>-96.2</v>
      </c>
      <c r="E280" s="19" t="n">
        <v>65</v>
      </c>
      <c r="F280" s="35" t="n">
        <f aca="false">E280*0.5144</f>
        <v>33.436</v>
      </c>
      <c r="G280" s="22" t="e">
        <f aca="false">arclethnm(C279,D279,C280,D280)/6</f>
        <v>#NAME?</v>
      </c>
      <c r="H280" s="36" t="e">
        <f aca="false">G280*0.5144</f>
        <v>#NAME?</v>
      </c>
      <c r="I280" s="18" t="n">
        <v>982</v>
      </c>
      <c r="J280" s="18" t="n">
        <v>20</v>
      </c>
      <c r="K280" s="19" t="n">
        <f aca="false">B280-4.5</f>
        <v>-0.5</v>
      </c>
    </row>
    <row r="281" customFormat="false" ht="12.75" hidden="false" customHeight="false" outlineLevel="0" collapsed="false">
      <c r="A281" s="34" t="n">
        <f aca="false">B281-0.5</f>
        <v>3.75</v>
      </c>
      <c r="B281" s="19" t="n">
        <v>4.25</v>
      </c>
      <c r="C281" s="18" t="n">
        <v>25.9</v>
      </c>
      <c r="D281" s="18" t="n">
        <v>-96.7</v>
      </c>
      <c r="E281" s="19" t="n">
        <v>70</v>
      </c>
      <c r="F281" s="35" t="n">
        <f aca="false">E281*0.5144</f>
        <v>36.008</v>
      </c>
      <c r="G281" s="22" t="e">
        <f aca="false">arclethnm(C280,D280,C281,D281)/6</f>
        <v>#NAME?</v>
      </c>
      <c r="H281" s="36" t="e">
        <f aca="false">G281*0.5144</f>
        <v>#NAME?</v>
      </c>
      <c r="I281" s="18" t="n">
        <v>967</v>
      </c>
      <c r="J281" s="18" t="n">
        <v>20</v>
      </c>
      <c r="K281" s="19" t="n">
        <f aca="false">B281-4.5</f>
        <v>-0.25</v>
      </c>
    </row>
    <row r="282" customFormat="false" ht="12.75" hidden="false" customHeight="false" outlineLevel="0" collapsed="false">
      <c r="A282" s="34" t="n">
        <f aca="false">B282-0.5</f>
        <v>4</v>
      </c>
      <c r="B282" s="19" t="n">
        <v>4.5</v>
      </c>
      <c r="C282" s="18" t="n">
        <v>26</v>
      </c>
      <c r="D282" s="18" t="n">
        <v>-96.8</v>
      </c>
      <c r="E282" s="19" t="n">
        <v>85</v>
      </c>
      <c r="F282" s="35" t="n">
        <f aca="false">E282*0.5144</f>
        <v>43.724</v>
      </c>
      <c r="G282" s="22" t="e">
        <f aca="false">arclethnm(C281,D281,C282,D282)/6</f>
        <v>#NAME?</v>
      </c>
      <c r="H282" s="36" t="e">
        <f aca="false">G282*0.5144</f>
        <v>#NAME?</v>
      </c>
      <c r="I282" s="23" t="n">
        <v>963</v>
      </c>
      <c r="J282" s="18" t="n">
        <v>20</v>
      </c>
      <c r="K282" s="19" t="n">
        <v>0</v>
      </c>
    </row>
    <row r="283" customFormat="false" ht="12.75" hidden="false" customHeight="false" outlineLevel="0" collapsed="false">
      <c r="A283" s="34" t="n">
        <f aca="false">B283-0.5</f>
        <v>4.08</v>
      </c>
      <c r="B283" s="19" t="n">
        <v>4.58</v>
      </c>
      <c r="C283" s="18" t="n">
        <v>26.4</v>
      </c>
      <c r="D283" s="18" t="n">
        <v>-97.2</v>
      </c>
      <c r="E283" s="19" t="n">
        <v>85</v>
      </c>
      <c r="F283" s="35" t="n">
        <f aca="false">E283*0.5144</f>
        <v>43.724</v>
      </c>
      <c r="G283" s="22" t="e">
        <f aca="false">arclethnm(C282,D282,C283,D283)/6</f>
        <v>#NAME?</v>
      </c>
      <c r="H283" s="36" t="e">
        <f aca="false">G283*0.5144</f>
        <v>#NAME?</v>
      </c>
      <c r="I283" s="18" t="n">
        <v>967</v>
      </c>
      <c r="J283" s="18" t="n">
        <v>-999</v>
      </c>
      <c r="K283" s="19" t="n">
        <f aca="false">B283-4.5</f>
        <v>0.0800000000000001</v>
      </c>
    </row>
    <row r="284" customFormat="false" ht="12.75" hidden="false" customHeight="false" outlineLevel="0" collapsed="false">
      <c r="A284" s="34" t="n">
        <f aca="false">B284-0.5</f>
        <v>4.25</v>
      </c>
      <c r="B284" s="19" t="n">
        <v>4.75</v>
      </c>
      <c r="C284" s="18" t="n">
        <v>26.5</v>
      </c>
      <c r="D284" s="18" t="n">
        <v>-97.8</v>
      </c>
      <c r="E284" s="19" t="n">
        <v>75</v>
      </c>
      <c r="F284" s="35" t="n">
        <f aca="false">E284*0.5144</f>
        <v>38.58</v>
      </c>
      <c r="G284" s="22" t="e">
        <f aca="false">arclethnm(C283,D283,C284,D284)/6</f>
        <v>#NAME?</v>
      </c>
      <c r="H284" s="36" t="e">
        <f aca="false">G284*0.5144</f>
        <v>#NAME?</v>
      </c>
      <c r="I284" s="18" t="n">
        <v>976</v>
      </c>
      <c r="J284" s="18" t="n">
        <v>20</v>
      </c>
      <c r="K284" s="19" t="n">
        <f aca="false">B284-4.5</f>
        <v>0.25</v>
      </c>
    </row>
    <row r="285" customFormat="false" ht="12.75" hidden="false" customHeight="false" outlineLevel="0" collapsed="false">
      <c r="A285" s="34" t="n">
        <f aca="false">B285-0.5</f>
        <v>4.25</v>
      </c>
      <c r="B285" s="19" t="n">
        <v>4.75</v>
      </c>
      <c r="C285" s="18" t="n">
        <v>26.7</v>
      </c>
      <c r="D285" s="18" t="n">
        <v>-98.3</v>
      </c>
      <c r="E285" s="19" t="n">
        <v>75</v>
      </c>
      <c r="F285" s="35" t="n">
        <f aca="false">E285*0.5144</f>
        <v>38.58</v>
      </c>
      <c r="G285" s="22" t="e">
        <f aca="false">arclethnm(C284,D284,C285,D285)/6</f>
        <v>#NAME?</v>
      </c>
      <c r="H285" s="36" t="e">
        <f aca="false">G285*0.5144</f>
        <v>#NAME?</v>
      </c>
      <c r="I285" s="18" t="n">
        <v>986</v>
      </c>
      <c r="J285" s="18" t="n">
        <v>-999</v>
      </c>
      <c r="K285" s="19" t="n">
        <f aca="false">B285-4.5</f>
        <v>0.25</v>
      </c>
    </row>
    <row r="286" customFormat="false" ht="12.75" hidden="false" customHeight="false" outlineLevel="0" collapsed="false">
      <c r="A286" s="34" t="n">
        <f aca="false">B286-0.5</f>
        <v>4.33</v>
      </c>
      <c r="B286" s="19" t="n">
        <v>4.83</v>
      </c>
      <c r="C286" s="18" t="n">
        <v>27.2</v>
      </c>
      <c r="D286" s="18" t="n">
        <v>-98.9</v>
      </c>
      <c r="E286" s="19" t="n">
        <v>70</v>
      </c>
      <c r="F286" s="35" t="n">
        <f aca="false">E286*0.5144</f>
        <v>36.008</v>
      </c>
      <c r="G286" s="22" t="e">
        <f aca="false">arclethnm(C285,D285,C286,D286)/6</f>
        <v>#NAME?</v>
      </c>
      <c r="H286" s="36" t="e">
        <f aca="false">G286*0.5144</f>
        <v>#NAME?</v>
      </c>
      <c r="I286" s="18" t="n">
        <v>992</v>
      </c>
      <c r="J286" s="18" t="n">
        <v>-999</v>
      </c>
      <c r="K286" s="19" t="n">
        <f aca="false">B286-4.5</f>
        <v>0.33</v>
      </c>
    </row>
    <row r="287" customFormat="false" ht="12.75" hidden="false" customHeight="false" outlineLevel="0" collapsed="false">
      <c r="A287" s="34" t="n">
        <f aca="false">B287-0.5</f>
        <v>4.5</v>
      </c>
      <c r="B287" s="19" t="n">
        <v>5</v>
      </c>
      <c r="C287" s="18" t="n">
        <v>27.9</v>
      </c>
      <c r="D287" s="18" t="n">
        <v>-100</v>
      </c>
      <c r="E287" s="19" t="n">
        <v>65</v>
      </c>
      <c r="F287" s="35" t="n">
        <f aca="false">E287*0.5144</f>
        <v>33.436</v>
      </c>
      <c r="G287" s="22" t="e">
        <f aca="false">arclethnm(C286,D286,C287,D287)/6</f>
        <v>#NAME?</v>
      </c>
      <c r="H287" s="36" t="e">
        <f aca="false">G287*0.5144</f>
        <v>#NAME?</v>
      </c>
      <c r="I287" s="18" t="n">
        <v>995</v>
      </c>
      <c r="J287" s="18" t="n">
        <v>15</v>
      </c>
      <c r="K287" s="19" t="n">
        <f aca="false">B287-4.5</f>
        <v>0.5</v>
      </c>
    </row>
    <row r="288" customFormat="false" ht="12.75" hidden="false" customHeight="false" outlineLevel="0" collapsed="false">
      <c r="A288" s="34" t="n">
        <f aca="false">B288-0.5</f>
        <v>4.75</v>
      </c>
      <c r="B288" s="19" t="n">
        <v>5.25</v>
      </c>
      <c r="C288" s="18" t="n">
        <v>28.3</v>
      </c>
      <c r="D288" s="18" t="n">
        <v>-101.4</v>
      </c>
      <c r="E288" s="19" t="n">
        <v>55</v>
      </c>
      <c r="F288" s="35" t="n">
        <f aca="false">E288*0.5144</f>
        <v>28.292</v>
      </c>
      <c r="G288" s="22" t="e">
        <f aca="false">arclethnm(C287,D287,C288,D288)/6</f>
        <v>#NAME?</v>
      </c>
      <c r="H288" s="36" t="e">
        <f aca="false">G288*0.5144</f>
        <v>#NAME?</v>
      </c>
      <c r="I288" s="18" t="n">
        <v>1000</v>
      </c>
      <c r="J288" s="18" t="n">
        <v>15</v>
      </c>
      <c r="K288" s="19" t="n">
        <f aca="false">B288-4.5</f>
        <v>0.75</v>
      </c>
    </row>
    <row r="289" customFormat="false" ht="12.75" hidden="false" customHeight="false" outlineLevel="0" collapsed="false">
      <c r="A289" s="34" t="n">
        <f aca="false">B289-0.5</f>
        <v>5</v>
      </c>
      <c r="B289" s="19" t="n">
        <v>5.5</v>
      </c>
      <c r="C289" s="18" t="n">
        <v>28.5</v>
      </c>
      <c r="D289" s="18" t="n">
        <v>-102.7</v>
      </c>
      <c r="E289" s="19" t="n">
        <v>45</v>
      </c>
      <c r="F289" s="35" t="n">
        <f aca="false">E289*0.5144</f>
        <v>23.148</v>
      </c>
      <c r="G289" s="22" t="e">
        <f aca="false">arclethnm(C288,D288,C289,D289)/6</f>
        <v>#NAME?</v>
      </c>
      <c r="H289" s="36" t="e">
        <f aca="false">G289*0.5144</f>
        <v>#NAME?</v>
      </c>
      <c r="I289" s="18" t="n">
        <v>1004</v>
      </c>
      <c r="J289" s="18" t="n">
        <v>15</v>
      </c>
      <c r="K289" s="19" t="n">
        <f aca="false">B289-4.5</f>
        <v>1</v>
      </c>
    </row>
    <row r="290" customFormat="false" ht="12.75" hidden="false" customHeight="false" outlineLevel="0" collapsed="false">
      <c r="A290" s="34" t="n">
        <f aca="false">B290-0.5</f>
        <v>5.25</v>
      </c>
      <c r="B290" s="19" t="n">
        <v>5.75</v>
      </c>
      <c r="C290" s="18" t="n">
        <v>28.8</v>
      </c>
      <c r="D290" s="18" t="n">
        <v>-104</v>
      </c>
      <c r="E290" s="19" t="n">
        <v>35</v>
      </c>
      <c r="F290" s="35" t="n">
        <f aca="false">E290*0.5144</f>
        <v>18.004</v>
      </c>
      <c r="G290" s="22" t="e">
        <f aca="false">arclethnm(C289,D289,C290,D290)/6</f>
        <v>#NAME?</v>
      </c>
      <c r="H290" s="36" t="e">
        <f aca="false">G290*0.5144</f>
        <v>#NAME?</v>
      </c>
      <c r="I290" s="18" t="n">
        <v>1008</v>
      </c>
      <c r="J290" s="18" t="n">
        <v>15</v>
      </c>
      <c r="K290" s="19" t="n">
        <f aca="false">B290-4.5</f>
        <v>1.25</v>
      </c>
    </row>
    <row r="291" customFormat="false" ht="12.75" hidden="false" customHeight="false" outlineLevel="0" collapsed="false">
      <c r="A291" s="34" t="n">
        <f aca="false">B291-0.5</f>
        <v>5.5</v>
      </c>
      <c r="B291" s="19" t="n">
        <v>6</v>
      </c>
      <c r="C291" s="18" t="n">
        <v>29.4</v>
      </c>
      <c r="D291" s="18" t="n">
        <v>-105</v>
      </c>
      <c r="E291" s="19" t="n">
        <v>20</v>
      </c>
      <c r="F291" s="35" t="n">
        <f aca="false">E291*0.5144</f>
        <v>10.288</v>
      </c>
      <c r="G291" s="22" t="e">
        <f aca="false">arclethnm(C290,D290,C291,D291)/6</f>
        <v>#NAME?</v>
      </c>
      <c r="H291" s="36" t="e">
        <f aca="false">G291*0.5144</f>
        <v>#NAME?</v>
      </c>
      <c r="I291" s="18" t="n">
        <v>1009</v>
      </c>
      <c r="J291" s="18" t="n">
        <v>0</v>
      </c>
      <c r="K291" s="19" t="n">
        <f aca="false">B291-4.5</f>
        <v>1.5</v>
      </c>
    </row>
    <row r="292" customFormat="false" ht="12.75" hidden="false" customHeight="false" outlineLevel="0" collapsed="false">
      <c r="A292" s="34" t="n">
        <f aca="false">B292-0.5</f>
        <v>5.75</v>
      </c>
      <c r="B292" s="19" t="n">
        <v>6.25</v>
      </c>
      <c r="C292" s="18" t="n">
        <v>30</v>
      </c>
      <c r="D292" s="18" t="n">
        <v>-105.7</v>
      </c>
      <c r="E292" s="19" t="n">
        <v>25</v>
      </c>
      <c r="F292" s="35" t="n">
        <f aca="false">E292*0.5144</f>
        <v>12.86</v>
      </c>
      <c r="G292" s="22" t="e">
        <f aca="false">arclethnm(C291,D291,C292,D292)/6</f>
        <v>#NAME?</v>
      </c>
      <c r="H292" s="36" t="e">
        <f aca="false">G292*0.5144</f>
        <v>#NAME?</v>
      </c>
      <c r="I292" s="18" t="n">
        <v>1012</v>
      </c>
      <c r="J292" s="18" t="n">
        <v>0</v>
      </c>
      <c r="K292" s="19" t="n">
        <f aca="false">B292-4.5</f>
        <v>1.75</v>
      </c>
    </row>
    <row r="293" customFormat="false" ht="12.75" hidden="false" customHeight="false" outlineLevel="0" collapsed="false">
      <c r="A293" s="34" t="n">
        <f aca="false">B293-0.5</f>
        <v>6</v>
      </c>
      <c r="B293" s="19" t="n">
        <v>6.5</v>
      </c>
      <c r="C293" s="18" t="n">
        <v>30.5</v>
      </c>
      <c r="D293" s="18" t="n">
        <v>-106</v>
      </c>
      <c r="E293" s="19" t="n">
        <v>25</v>
      </c>
      <c r="F293" s="35" t="n">
        <f aca="false">E293*0.5144</f>
        <v>12.86</v>
      </c>
      <c r="G293" s="22" t="e">
        <f aca="false">arclethnm(C292,D292,C293,D293)/6</f>
        <v>#NAME?</v>
      </c>
      <c r="H293" s="36" t="e">
        <f aca="false">G293*0.5144</f>
        <v>#NAME?</v>
      </c>
      <c r="I293" s="18" t="n">
        <v>1011</v>
      </c>
      <c r="J293" s="18" t="n">
        <v>0</v>
      </c>
      <c r="K293" s="19" t="n">
        <f aca="false">B293-4.5</f>
        <v>2</v>
      </c>
    </row>
    <row r="294" customFormat="false" ht="12.75" hidden="false" customHeight="false" outlineLevel="0" collapsed="false">
      <c r="A294" s="34" t="n">
        <f aca="false">B294-0.5</f>
        <v>6.25</v>
      </c>
      <c r="B294" s="19" t="n">
        <v>6.75</v>
      </c>
      <c r="C294" s="18" t="n">
        <v>31</v>
      </c>
      <c r="D294" s="18" t="n">
        <v>-106.3</v>
      </c>
      <c r="E294" s="19" t="n">
        <v>25</v>
      </c>
      <c r="F294" s="35" t="n">
        <f aca="false">E294*0.5144</f>
        <v>12.86</v>
      </c>
      <c r="G294" s="22" t="e">
        <f aca="false">arclethnm(C293,D293,C294,D294)/6</f>
        <v>#NAME?</v>
      </c>
      <c r="H294" s="36" t="e">
        <f aca="false">G294*0.5144</f>
        <v>#NAME?</v>
      </c>
      <c r="I294" s="18" t="n">
        <v>1010</v>
      </c>
      <c r="J294" s="18" t="n">
        <v>0</v>
      </c>
      <c r="K294" s="19" t="n">
        <f aca="false">B294-4.5</f>
        <v>2.25</v>
      </c>
    </row>
    <row r="295" customFormat="false" ht="12.75" hidden="false" customHeight="false" outlineLevel="0" collapsed="false">
      <c r="A295" s="34" t="n">
        <f aca="false">B295-0.5</f>
        <v>6.5</v>
      </c>
      <c r="B295" s="19" t="n">
        <v>7</v>
      </c>
      <c r="C295" s="18" t="n">
        <v>31.9</v>
      </c>
      <c r="D295" s="18" t="n">
        <v>-106.7</v>
      </c>
      <c r="E295" s="19" t="n">
        <v>20</v>
      </c>
      <c r="F295" s="35" t="n">
        <f aca="false">E295*0.5144</f>
        <v>10.288</v>
      </c>
      <c r="G295" s="22" t="e">
        <f aca="false">arclethnm(C294,D294,C295,D295)/6</f>
        <v>#NAME?</v>
      </c>
      <c r="H295" s="36" t="e">
        <f aca="false">G295*0.5144</f>
        <v>#NAME?</v>
      </c>
      <c r="I295" s="18" t="n">
        <v>1014</v>
      </c>
      <c r="J295" s="18" t="n">
        <v>0</v>
      </c>
      <c r="K295" s="19" t="n">
        <f aca="false">B295-4.5</f>
        <v>2.5</v>
      </c>
    </row>
    <row r="296" customFormat="false" ht="12.75" hidden="false" customHeight="false" outlineLevel="0" collapsed="false">
      <c r="A296" s="34" t="n">
        <f aca="false">B296-0.5</f>
        <v>6.75</v>
      </c>
      <c r="B296" s="19" t="n">
        <v>7.25</v>
      </c>
      <c r="C296" s="18" t="n">
        <v>32.9</v>
      </c>
      <c r="D296" s="18" t="n">
        <v>-106.3</v>
      </c>
      <c r="E296" s="19" t="n">
        <v>20</v>
      </c>
      <c r="F296" s="35" t="n">
        <f aca="false">E296*0.5144</f>
        <v>10.288</v>
      </c>
      <c r="G296" s="22" t="e">
        <f aca="false">arclethnm(C295,D295,C296,D296)/6</f>
        <v>#NAME?</v>
      </c>
      <c r="H296" s="36" t="e">
        <f aca="false">G296*0.5144</f>
        <v>#NAME?</v>
      </c>
      <c r="I296" s="18" t="n">
        <v>1016</v>
      </c>
      <c r="J296" s="18" t="n">
        <v>0</v>
      </c>
      <c r="K296" s="19" t="n">
        <f aca="false">B296-4.5</f>
        <v>2.75</v>
      </c>
    </row>
    <row r="297" customFormat="false" ht="12.75" hidden="false" customHeight="false" outlineLevel="0" collapsed="false">
      <c r="A297" s="34"/>
      <c r="B297" s="0"/>
      <c r="C297" s="0"/>
      <c r="D297" s="0"/>
      <c r="E297" s="0"/>
      <c r="F297" s="0"/>
      <c r="G297" s="22"/>
      <c r="H297" s="36"/>
      <c r="I297" s="0"/>
      <c r="J297" s="18"/>
      <c r="K297" s="0"/>
    </row>
    <row r="298" customFormat="false" ht="12.75" hidden="false" customHeight="false" outlineLevel="0" collapsed="false">
      <c r="A298" s="34"/>
      <c r="B298" s="0"/>
      <c r="C298" s="0"/>
      <c r="D298" s="0"/>
      <c r="E298" s="0"/>
      <c r="F298" s="0"/>
      <c r="G298" s="22"/>
      <c r="H298" s="36"/>
      <c r="I298" s="0"/>
      <c r="J298" s="18"/>
      <c r="K298" s="0"/>
    </row>
    <row r="299" customFormat="false" ht="12.75" hidden="false" customHeight="false" outlineLevel="0" collapsed="false">
      <c r="A299" s="34"/>
      <c r="B299" s="0"/>
      <c r="C299" s="0"/>
      <c r="D299" s="0"/>
      <c r="E299" s="0"/>
      <c r="F299" s="0"/>
      <c r="G299" s="22"/>
      <c r="H299" s="36"/>
      <c r="I299" s="0"/>
      <c r="J299" s="18"/>
      <c r="K299" s="0"/>
    </row>
    <row r="300" customFormat="false" ht="12.75" hidden="false" customHeight="false" outlineLevel="0" collapsed="false">
      <c r="A300" s="0"/>
      <c r="B300" s="0"/>
      <c r="C300" s="0"/>
      <c r="D300" s="0"/>
      <c r="E300" s="0"/>
      <c r="F300" s="0"/>
      <c r="G300" s="22"/>
      <c r="H300" s="36"/>
      <c r="I300" s="0"/>
      <c r="J300" s="0"/>
      <c r="K300" s="0"/>
    </row>
    <row r="301" customFormat="false" ht="12.75" hidden="false" customHeight="false" outlineLevel="0" collapsed="false">
      <c r="A301" s="0"/>
      <c r="B301" s="20" t="s">
        <v>163</v>
      </c>
      <c r="C301" s="20"/>
      <c r="D301" s="20"/>
      <c r="E301" s="20" t="s">
        <v>54</v>
      </c>
      <c r="F301" s="0"/>
      <c r="G301" s="22"/>
      <c r="H301" s="36"/>
      <c r="I301" s="0"/>
      <c r="J301" s="0"/>
      <c r="K301" s="0"/>
    </row>
    <row r="302" customFormat="false" ht="12.75" hidden="false" customHeight="false" outlineLevel="0" collapsed="false">
      <c r="A302" s="19" t="n">
        <v>1</v>
      </c>
      <c r="B302" s="19" t="n">
        <v>1.25</v>
      </c>
      <c r="C302" s="18" t="n">
        <v>17.2</v>
      </c>
      <c r="D302" s="18" t="n">
        <v>-37</v>
      </c>
      <c r="E302" s="19" t="n">
        <v>30</v>
      </c>
      <c r="F302" s="35" t="n">
        <f aca="false">E302*0.5144</f>
        <v>15.432</v>
      </c>
      <c r="G302" s="22"/>
      <c r="H302" s="36"/>
      <c r="I302" s="19" t="n">
        <v>1006</v>
      </c>
      <c r="J302" s="18" t="n">
        <v>90</v>
      </c>
      <c r="K302" s="19" t="n">
        <f aca="false">B302-4.25</f>
        <v>-3</v>
      </c>
    </row>
    <row r="303" customFormat="false" ht="12.75" hidden="false" customHeight="false" outlineLevel="0" collapsed="false">
      <c r="A303" s="19" t="n">
        <f aca="false">B303-0.25</f>
        <v>1.25</v>
      </c>
      <c r="B303" s="19" t="n">
        <v>1.5</v>
      </c>
      <c r="C303" s="18" t="n">
        <v>17.3</v>
      </c>
      <c r="D303" s="18" t="n">
        <v>-38.4</v>
      </c>
      <c r="E303" s="19" t="n">
        <v>35</v>
      </c>
      <c r="F303" s="35" t="n">
        <f aca="false">E303*0.5144</f>
        <v>18.004</v>
      </c>
      <c r="G303" s="22" t="e">
        <f aca="false">arclethnm(C302,D302,C303,D303)/6</f>
        <v>#NAME?</v>
      </c>
      <c r="H303" s="36" t="e">
        <f aca="false">G303*0.5144</f>
        <v>#NAME?</v>
      </c>
      <c r="I303" s="19" t="n">
        <v>1005</v>
      </c>
      <c r="J303" s="18" t="n">
        <v>90</v>
      </c>
      <c r="K303" s="19" t="n">
        <f aca="false">B303-4.25</f>
        <v>-2.75</v>
      </c>
    </row>
    <row r="304" customFormat="false" ht="12.75" hidden="false" customHeight="false" outlineLevel="0" collapsed="false">
      <c r="A304" s="19" t="n">
        <f aca="false">B304-0.25</f>
        <v>1.5</v>
      </c>
      <c r="B304" s="19" t="n">
        <v>1.75</v>
      </c>
      <c r="C304" s="18" t="n">
        <v>17.5</v>
      </c>
      <c r="D304" s="18" t="n">
        <v>-39.9</v>
      </c>
      <c r="E304" s="19" t="n">
        <v>45</v>
      </c>
      <c r="F304" s="35" t="n">
        <f aca="false">E304*0.5144</f>
        <v>23.148</v>
      </c>
      <c r="G304" s="22" t="e">
        <f aca="false">arclethnm(C303,D303,C304,D304)/6</f>
        <v>#NAME?</v>
      </c>
      <c r="H304" s="36" t="e">
        <f aca="false">G304*0.5144</f>
        <v>#NAME?</v>
      </c>
      <c r="I304" s="19" t="n">
        <v>1003</v>
      </c>
      <c r="J304" s="18" t="n">
        <v>90</v>
      </c>
      <c r="K304" s="19" t="n">
        <f aca="false">B304-4.25</f>
        <v>-2.5</v>
      </c>
    </row>
    <row r="305" customFormat="false" ht="12.75" hidden="false" customHeight="false" outlineLevel="0" collapsed="false">
      <c r="A305" s="19" t="n">
        <f aca="false">B305-0.25</f>
        <v>1.75</v>
      </c>
      <c r="B305" s="19" t="n">
        <v>2</v>
      </c>
      <c r="C305" s="18" t="n">
        <v>17.8</v>
      </c>
      <c r="D305" s="18" t="n">
        <v>-41.3</v>
      </c>
      <c r="E305" s="19" t="n">
        <v>45</v>
      </c>
      <c r="F305" s="35" t="n">
        <f aca="false">E305*0.5144</f>
        <v>23.148</v>
      </c>
      <c r="G305" s="22" t="e">
        <f aca="false">arclethnm(C304,D304,C305,D305)/6</f>
        <v>#NAME?</v>
      </c>
      <c r="H305" s="36" t="e">
        <f aca="false">G305*0.5144</f>
        <v>#NAME?</v>
      </c>
      <c r="I305" s="19" t="n">
        <v>1002</v>
      </c>
      <c r="J305" s="18" t="n">
        <v>20</v>
      </c>
      <c r="K305" s="19" t="n">
        <f aca="false">B305-4.25</f>
        <v>-2.25</v>
      </c>
    </row>
    <row r="306" customFormat="false" ht="12.75" hidden="false" customHeight="false" outlineLevel="0" collapsed="false">
      <c r="A306" s="19" t="n">
        <f aca="false">B306-0.25</f>
        <v>2</v>
      </c>
      <c r="B306" s="19" t="n">
        <v>2.25</v>
      </c>
      <c r="C306" s="18" t="n">
        <v>18.2</v>
      </c>
      <c r="D306" s="18" t="n">
        <v>-42.8</v>
      </c>
      <c r="E306" s="19" t="n">
        <v>45</v>
      </c>
      <c r="F306" s="35" t="n">
        <f aca="false">E306*0.5144</f>
        <v>23.148</v>
      </c>
      <c r="G306" s="22" t="e">
        <f aca="false">arclethnm(C305,D305,C306,D306)/6</f>
        <v>#NAME?</v>
      </c>
      <c r="H306" s="36" t="e">
        <f aca="false">G306*0.5144</f>
        <v>#NAME?</v>
      </c>
      <c r="I306" s="19" t="n">
        <v>1000</v>
      </c>
      <c r="J306" s="18" t="n">
        <v>20</v>
      </c>
      <c r="K306" s="19" t="n">
        <f aca="false">B306-4.25</f>
        <v>-2</v>
      </c>
    </row>
    <row r="307" customFormat="false" ht="12.75" hidden="false" customHeight="false" outlineLevel="0" collapsed="false">
      <c r="A307" s="19" t="n">
        <f aca="false">B307-0.25</f>
        <v>2.25</v>
      </c>
      <c r="B307" s="19" t="n">
        <v>2.5</v>
      </c>
      <c r="C307" s="18" t="n">
        <v>18.7</v>
      </c>
      <c r="D307" s="18" t="n">
        <v>-44.3</v>
      </c>
      <c r="E307" s="19" t="n">
        <v>50</v>
      </c>
      <c r="F307" s="35" t="n">
        <f aca="false">E307*0.5144</f>
        <v>25.72</v>
      </c>
      <c r="G307" s="22" t="e">
        <f aca="false">arclethnm(C306,D306,C307,D307)/6</f>
        <v>#NAME?</v>
      </c>
      <c r="H307" s="36" t="e">
        <f aca="false">G307*0.5144</f>
        <v>#NAME?</v>
      </c>
      <c r="I307" s="19" t="n">
        <v>999</v>
      </c>
      <c r="J307" s="18" t="n">
        <v>90</v>
      </c>
      <c r="K307" s="19" t="n">
        <f aca="false">B307-4.25</f>
        <v>-1.75</v>
      </c>
    </row>
    <row r="308" customFormat="false" ht="12.75" hidden="false" customHeight="false" outlineLevel="0" collapsed="false">
      <c r="A308" s="19" t="n">
        <f aca="false">B308-0.25</f>
        <v>2.5</v>
      </c>
      <c r="B308" s="19" t="n">
        <v>2.75</v>
      </c>
      <c r="C308" s="18" t="n">
        <v>19.3</v>
      </c>
      <c r="D308" s="18" t="n">
        <v>-45.8</v>
      </c>
      <c r="E308" s="19" t="n">
        <v>55</v>
      </c>
      <c r="F308" s="35" t="n">
        <f aca="false">E308*0.5144</f>
        <v>28.292</v>
      </c>
      <c r="G308" s="22" t="e">
        <f aca="false">arclethnm(C307,D307,C308,D308)/6</f>
        <v>#NAME?</v>
      </c>
      <c r="H308" s="36" t="e">
        <f aca="false">G308*0.5144</f>
        <v>#NAME?</v>
      </c>
      <c r="I308" s="19" t="n">
        <v>996</v>
      </c>
      <c r="J308" s="18" t="n">
        <v>90</v>
      </c>
      <c r="K308" s="19" t="n">
        <f aca="false">B308-4.25</f>
        <v>-1.5</v>
      </c>
    </row>
    <row r="309" customFormat="false" ht="12.75" hidden="false" customHeight="false" outlineLevel="0" collapsed="false">
      <c r="A309" s="19" t="n">
        <f aca="false">B309-0.25</f>
        <v>2.75</v>
      </c>
      <c r="B309" s="19" t="n">
        <v>3</v>
      </c>
      <c r="C309" s="18" t="n">
        <v>19.8</v>
      </c>
      <c r="D309" s="18" t="n">
        <v>-47.3</v>
      </c>
      <c r="E309" s="19" t="n">
        <v>55</v>
      </c>
      <c r="F309" s="35" t="n">
        <f aca="false">E309*0.5144</f>
        <v>28.292</v>
      </c>
      <c r="G309" s="22" t="e">
        <f aca="false">arclethnm(C308,D308,C309,D309)/6</f>
        <v>#NAME?</v>
      </c>
      <c r="H309" s="36" t="e">
        <f aca="false">G309*0.5144</f>
        <v>#NAME?</v>
      </c>
      <c r="I309" s="19" t="n">
        <v>994</v>
      </c>
      <c r="J309" s="18" t="n">
        <v>90</v>
      </c>
      <c r="K309" s="19" t="n">
        <f aca="false">B309-4.25</f>
        <v>-1.25</v>
      </c>
    </row>
    <row r="310" customFormat="false" ht="12.75" hidden="false" customHeight="false" outlineLevel="0" collapsed="false">
      <c r="A310" s="19" t="n">
        <f aca="false">B310-0.25</f>
        <v>3</v>
      </c>
      <c r="B310" s="19" t="n">
        <v>3.25</v>
      </c>
      <c r="C310" s="18" t="n">
        <v>20.2</v>
      </c>
      <c r="D310" s="18" t="n">
        <v>-48.8</v>
      </c>
      <c r="E310" s="19" t="n">
        <v>55</v>
      </c>
      <c r="F310" s="35" t="n">
        <f aca="false">E310*0.5144</f>
        <v>28.292</v>
      </c>
      <c r="G310" s="22" t="e">
        <f aca="false">arclethnm(C309,D309,C310,D310)/6</f>
        <v>#NAME?</v>
      </c>
      <c r="H310" s="36" t="e">
        <f aca="false">G310*0.5144</f>
        <v>#NAME?</v>
      </c>
      <c r="I310" s="19" t="n">
        <v>992</v>
      </c>
      <c r="J310" s="18" t="n">
        <v>50</v>
      </c>
      <c r="K310" s="19" t="n">
        <f aca="false">B310-4.25</f>
        <v>-1</v>
      </c>
    </row>
    <row r="311" customFormat="false" ht="12.75" hidden="false" customHeight="false" outlineLevel="0" collapsed="false">
      <c r="A311" s="19" t="n">
        <f aca="false">B311-0.25</f>
        <v>3.25</v>
      </c>
      <c r="B311" s="19" t="n">
        <v>3.5</v>
      </c>
      <c r="C311" s="18" t="n">
        <v>20.6</v>
      </c>
      <c r="D311" s="18" t="n">
        <v>-50.3</v>
      </c>
      <c r="E311" s="19" t="n">
        <v>60</v>
      </c>
      <c r="F311" s="35" t="n">
        <f aca="false">E311*0.5144</f>
        <v>30.864</v>
      </c>
      <c r="G311" s="22" t="e">
        <f aca="false">arclethnm(C310,D310,C311,D311)/6</f>
        <v>#NAME?</v>
      </c>
      <c r="H311" s="36" t="e">
        <f aca="false">G311*0.5144</f>
        <v>#NAME?</v>
      </c>
      <c r="I311" s="19" t="n">
        <v>989</v>
      </c>
      <c r="J311" s="18" t="n">
        <v>45</v>
      </c>
      <c r="K311" s="19" t="n">
        <f aca="false">B311-4.25</f>
        <v>-0.75</v>
      </c>
    </row>
    <row r="312" customFormat="false" ht="12.75" hidden="false" customHeight="false" outlineLevel="0" collapsed="false">
      <c r="A312" s="19" t="n">
        <f aca="false">B312-0.25</f>
        <v>3.5</v>
      </c>
      <c r="B312" s="19" t="n">
        <v>3.75</v>
      </c>
      <c r="C312" s="18" t="n">
        <v>21.1</v>
      </c>
      <c r="D312" s="18" t="n">
        <v>-51.9</v>
      </c>
      <c r="E312" s="19" t="n">
        <v>75</v>
      </c>
      <c r="F312" s="35" t="n">
        <f aca="false">E312*0.5144</f>
        <v>38.58</v>
      </c>
      <c r="G312" s="22" t="e">
        <f aca="false">arclethnm(C311,D311,C312,D312)/6</f>
        <v>#NAME?</v>
      </c>
      <c r="H312" s="36" t="e">
        <f aca="false">G312*0.5144</f>
        <v>#NAME?</v>
      </c>
      <c r="I312" s="19" t="n">
        <v>979</v>
      </c>
      <c r="J312" s="18" t="n">
        <v>30</v>
      </c>
      <c r="K312" s="19" t="n">
        <f aca="false">B312-4.25</f>
        <v>-0.5</v>
      </c>
    </row>
    <row r="313" customFormat="false" ht="12.75" hidden="false" customHeight="false" outlineLevel="0" collapsed="false">
      <c r="A313" s="19" t="n">
        <f aca="false">B313-0.25</f>
        <v>3.75</v>
      </c>
      <c r="B313" s="19" t="n">
        <v>4</v>
      </c>
      <c r="C313" s="18" t="n">
        <v>21.8</v>
      </c>
      <c r="D313" s="18" t="n">
        <v>-53.5</v>
      </c>
      <c r="E313" s="19" t="n">
        <v>105</v>
      </c>
      <c r="F313" s="35" t="n">
        <f aca="false">E313*0.5144</f>
        <v>54.012</v>
      </c>
      <c r="G313" s="22" t="e">
        <f aca="false">arclethnm(C312,D312,C313,D313)/6</f>
        <v>#NAME?</v>
      </c>
      <c r="H313" s="36" t="e">
        <f aca="false">G313*0.5144</f>
        <v>#NAME?</v>
      </c>
      <c r="I313" s="19" t="n">
        <v>956</v>
      </c>
      <c r="J313" s="18" t="n">
        <v>20</v>
      </c>
      <c r="K313" s="19" t="n">
        <f aca="false">B313-4.25</f>
        <v>-0.25</v>
      </c>
    </row>
    <row r="314" customFormat="false" ht="12.75" hidden="false" customHeight="false" outlineLevel="0" collapsed="false">
      <c r="A314" s="19" t="n">
        <f aca="false">B314-0.25</f>
        <v>4</v>
      </c>
      <c r="B314" s="19" t="n">
        <v>4.25</v>
      </c>
      <c r="C314" s="18" t="n">
        <v>22.4</v>
      </c>
      <c r="D314" s="18" t="n">
        <v>-55</v>
      </c>
      <c r="E314" s="19" t="n">
        <v>125</v>
      </c>
      <c r="F314" s="35" t="n">
        <f aca="false">E314*0.5144</f>
        <v>64.3</v>
      </c>
      <c r="G314" s="22" t="e">
        <f aca="false">arclethnm(C313,D313,C314,D314)/6</f>
        <v>#NAME?</v>
      </c>
      <c r="H314" s="36" t="e">
        <f aca="false">G314*0.5144</f>
        <v>#NAME?</v>
      </c>
      <c r="I314" s="20" t="n">
        <v>935</v>
      </c>
      <c r="J314" s="18" t="n">
        <v>15</v>
      </c>
      <c r="K314" s="19" t="n">
        <v>0</v>
      </c>
    </row>
    <row r="315" customFormat="false" ht="12.75" hidden="false" customHeight="false" outlineLevel="0" collapsed="false">
      <c r="A315" s="19" t="n">
        <f aca="false">B315-0.25</f>
        <v>4.25</v>
      </c>
      <c r="B315" s="19" t="n">
        <v>4.5</v>
      </c>
      <c r="C315" s="18" t="n">
        <v>23</v>
      </c>
      <c r="D315" s="18" t="n">
        <v>-56.4</v>
      </c>
      <c r="E315" s="19" t="n">
        <v>120</v>
      </c>
      <c r="F315" s="35" t="n">
        <f aca="false">E315*0.5144</f>
        <v>61.728</v>
      </c>
      <c r="G315" s="22" t="e">
        <f aca="false">arclethnm(C314,D314,C315,D315)/6</f>
        <v>#NAME?</v>
      </c>
      <c r="H315" s="36" t="e">
        <f aca="false">G315*0.5144</f>
        <v>#NAME?</v>
      </c>
      <c r="I315" s="19" t="n">
        <v>937</v>
      </c>
      <c r="J315" s="18" t="n">
        <v>15</v>
      </c>
      <c r="K315" s="19" t="n">
        <f aca="false">B315-4.25</f>
        <v>0.25</v>
      </c>
    </row>
    <row r="316" customFormat="false" ht="12.75" hidden="false" customHeight="false" outlineLevel="0" collapsed="false">
      <c r="A316" s="19" t="n">
        <f aca="false">B316-0.25</f>
        <v>4.5</v>
      </c>
      <c r="B316" s="19" t="n">
        <v>4.75</v>
      </c>
      <c r="C316" s="18" t="n">
        <v>23.4</v>
      </c>
      <c r="D316" s="18" t="n">
        <v>-57.7</v>
      </c>
      <c r="E316" s="19" t="n">
        <v>115</v>
      </c>
      <c r="F316" s="35" t="n">
        <f aca="false">E316*0.5144</f>
        <v>59.156</v>
      </c>
      <c r="G316" s="22" t="e">
        <f aca="false">arclethnm(C315,D315,C316,D316)/6</f>
        <v>#NAME?</v>
      </c>
      <c r="H316" s="36" t="e">
        <f aca="false">G316*0.5144</f>
        <v>#NAME?</v>
      </c>
      <c r="I316" s="19" t="n">
        <v>940</v>
      </c>
      <c r="J316" s="18" t="n">
        <v>15</v>
      </c>
      <c r="K316" s="19" t="n">
        <f aca="false">B316-4.25</f>
        <v>0.5</v>
      </c>
    </row>
    <row r="317" customFormat="false" ht="12.75" hidden="false" customHeight="false" outlineLevel="0" collapsed="false">
      <c r="A317" s="19" t="n">
        <f aca="false">B317-0.25</f>
        <v>4.75</v>
      </c>
      <c r="B317" s="19" t="n">
        <v>5</v>
      </c>
      <c r="C317" s="18" t="n">
        <v>23.6</v>
      </c>
      <c r="D317" s="18" t="n">
        <v>-59</v>
      </c>
      <c r="E317" s="19" t="n">
        <v>115</v>
      </c>
      <c r="F317" s="35" t="n">
        <f aca="false">E317*0.5144</f>
        <v>59.156</v>
      </c>
      <c r="G317" s="22" t="e">
        <f aca="false">arclethnm(C316,D316,C317,D317)/6</f>
        <v>#NAME?</v>
      </c>
      <c r="H317" s="36" t="e">
        <f aca="false">G317*0.5144</f>
        <v>#NAME?</v>
      </c>
      <c r="I317" s="19" t="n">
        <v>944</v>
      </c>
      <c r="J317" s="18" t="n">
        <v>15</v>
      </c>
      <c r="K317" s="19" t="n">
        <f aca="false">B317-4.25</f>
        <v>0.75</v>
      </c>
    </row>
    <row r="318" customFormat="false" ht="12.75" hidden="false" customHeight="false" outlineLevel="0" collapsed="false">
      <c r="A318" s="19" t="n">
        <f aca="false">B318-0.25</f>
        <v>5</v>
      </c>
      <c r="B318" s="19" t="n">
        <v>5.25</v>
      </c>
      <c r="C318" s="18" t="n">
        <v>23.6</v>
      </c>
      <c r="D318" s="18" t="n">
        <v>-60.4</v>
      </c>
      <c r="E318" s="19" t="n">
        <v>115</v>
      </c>
      <c r="F318" s="35" t="n">
        <f aca="false">E318*0.5144</f>
        <v>59.156</v>
      </c>
      <c r="G318" s="22" t="e">
        <f aca="false">arclethnm(C317,D317,C318,D318)/6</f>
        <v>#NAME?</v>
      </c>
      <c r="H318" s="36" t="e">
        <f aca="false">G318*0.5144</f>
        <v>#NAME?</v>
      </c>
      <c r="I318" s="19" t="n">
        <v>949</v>
      </c>
      <c r="J318" s="18" t="n">
        <v>15</v>
      </c>
      <c r="K318" s="19" t="n">
        <f aca="false">B318-4.25</f>
        <v>1</v>
      </c>
    </row>
    <row r="319" customFormat="false" ht="12.75" hidden="false" customHeight="false" outlineLevel="0" collapsed="false">
      <c r="A319" s="19" t="n">
        <f aca="false">B319-0.25</f>
        <v>5.25</v>
      </c>
      <c r="B319" s="19" t="n">
        <v>5.5</v>
      </c>
      <c r="C319" s="18" t="n">
        <v>23.5</v>
      </c>
      <c r="D319" s="18" t="n">
        <v>-61.9</v>
      </c>
      <c r="E319" s="19" t="n">
        <v>105</v>
      </c>
      <c r="F319" s="35" t="n">
        <f aca="false">E319*0.5144</f>
        <v>54.012</v>
      </c>
      <c r="G319" s="22" t="e">
        <f aca="false">arclethnm(C318,D318,C319,D319)/6</f>
        <v>#NAME?</v>
      </c>
      <c r="H319" s="36" t="e">
        <f aca="false">G319*0.5144</f>
        <v>#NAME?</v>
      </c>
      <c r="I319" s="19" t="n">
        <v>954</v>
      </c>
      <c r="J319" s="18" t="n">
        <v>15</v>
      </c>
      <c r="K319" s="19" t="n">
        <f aca="false">B319-4.25</f>
        <v>1.25</v>
      </c>
    </row>
    <row r="320" customFormat="false" ht="12.75" hidden="false" customHeight="false" outlineLevel="0" collapsed="false">
      <c r="A320" s="19" t="n">
        <f aca="false">B320-0.25</f>
        <v>5.5</v>
      </c>
      <c r="B320" s="19" t="n">
        <v>5.75</v>
      </c>
      <c r="C320" s="18" t="n">
        <v>23.2</v>
      </c>
      <c r="D320" s="18" t="n">
        <v>-63.4</v>
      </c>
      <c r="E320" s="19" t="n">
        <v>100</v>
      </c>
      <c r="F320" s="35" t="n">
        <f aca="false">E320*0.5144</f>
        <v>51.44</v>
      </c>
      <c r="G320" s="22" t="e">
        <f aca="false">arclethnm(C319,D319,C320,D320)/6</f>
        <v>#NAME?</v>
      </c>
      <c r="H320" s="36" t="e">
        <f aca="false">G320*0.5144</f>
        <v>#NAME?</v>
      </c>
      <c r="I320" s="19" t="n">
        <v>959</v>
      </c>
      <c r="J320" s="18" t="n">
        <v>15</v>
      </c>
      <c r="K320" s="19" t="n">
        <f aca="false">B320-4.25</f>
        <v>1.5</v>
      </c>
    </row>
    <row r="321" customFormat="false" ht="12.75" hidden="false" customHeight="false" outlineLevel="0" collapsed="false">
      <c r="A321" s="19" t="n">
        <f aca="false">B321-0.25</f>
        <v>5.75</v>
      </c>
      <c r="B321" s="19" t="n">
        <v>6</v>
      </c>
      <c r="C321" s="18" t="n">
        <v>22.8</v>
      </c>
      <c r="D321" s="18" t="n">
        <v>-64.9</v>
      </c>
      <c r="E321" s="19" t="n">
        <v>100</v>
      </c>
      <c r="F321" s="35" t="n">
        <f aca="false">E321*0.5144</f>
        <v>51.44</v>
      </c>
      <c r="G321" s="22" t="e">
        <f aca="false">arclethnm(C320,D320,C321,D321)/6</f>
        <v>#NAME?</v>
      </c>
      <c r="H321" s="36" t="e">
        <f aca="false">G321*0.5144</f>
        <v>#NAME?</v>
      </c>
      <c r="I321" s="19" t="n">
        <v>962</v>
      </c>
      <c r="J321" s="18" t="n">
        <v>15</v>
      </c>
      <c r="K321" s="19" t="n">
        <f aca="false">B321-4.25</f>
        <v>1.75</v>
      </c>
    </row>
    <row r="322" customFormat="false" ht="12.75" hidden="false" customHeight="false" outlineLevel="0" collapsed="false">
      <c r="A322" s="19" t="n">
        <f aca="false">B322-0.25</f>
        <v>6</v>
      </c>
      <c r="B322" s="19" t="n">
        <v>6.25</v>
      </c>
      <c r="C322" s="18" t="n">
        <v>22.4</v>
      </c>
      <c r="D322" s="18" t="n">
        <v>-66.3</v>
      </c>
      <c r="E322" s="19" t="n">
        <v>100</v>
      </c>
      <c r="F322" s="35" t="n">
        <f aca="false">E322*0.5144</f>
        <v>51.44</v>
      </c>
      <c r="G322" s="22" t="e">
        <f aca="false">arclethnm(C321,D321,C322,D322)/6</f>
        <v>#NAME?</v>
      </c>
      <c r="H322" s="36" t="e">
        <f aca="false">G322*0.5144</f>
        <v>#NAME?</v>
      </c>
      <c r="I322" s="19" t="n">
        <v>964</v>
      </c>
      <c r="J322" s="18" t="n">
        <v>15</v>
      </c>
      <c r="K322" s="19" t="n">
        <f aca="false">B322-4.25</f>
        <v>2</v>
      </c>
    </row>
    <row r="323" customFormat="false" ht="12.75" hidden="false" customHeight="false" outlineLevel="0" collapsed="false">
      <c r="A323" s="19" t="n">
        <f aca="false">B323-0.25</f>
        <v>6.25</v>
      </c>
      <c r="B323" s="19" t="n">
        <v>6.5</v>
      </c>
      <c r="C323" s="18" t="n">
        <v>21.9</v>
      </c>
      <c r="D323" s="18" t="n">
        <v>-67.7</v>
      </c>
      <c r="E323" s="19" t="n">
        <v>95</v>
      </c>
      <c r="F323" s="35" t="n">
        <f aca="false">E323*0.5144</f>
        <v>48.868</v>
      </c>
      <c r="G323" s="22" t="e">
        <f aca="false">arclethnm(C322,D322,C323,D323)/6</f>
        <v>#NAME?</v>
      </c>
      <c r="H323" s="36" t="e">
        <f aca="false">G323*0.5144</f>
        <v>#NAME?</v>
      </c>
      <c r="I323" s="19" t="n">
        <v>965</v>
      </c>
      <c r="J323" s="18" t="n">
        <v>15</v>
      </c>
      <c r="K323" s="19" t="n">
        <f aca="false">B323-4.25</f>
        <v>2.25</v>
      </c>
    </row>
    <row r="324" customFormat="false" ht="12.75" hidden="false" customHeight="false" outlineLevel="0" collapsed="false">
      <c r="A324" s="19" t="n">
        <f aca="false">B324-0.25</f>
        <v>6.5</v>
      </c>
      <c r="B324" s="19" t="n">
        <v>6.75</v>
      </c>
      <c r="C324" s="18" t="n">
        <v>21.5</v>
      </c>
      <c r="D324" s="18" t="n">
        <v>-69</v>
      </c>
      <c r="E324" s="19" t="n">
        <v>115</v>
      </c>
      <c r="F324" s="35" t="n">
        <f aca="false">E324*0.5144</f>
        <v>59.156</v>
      </c>
      <c r="G324" s="22" t="e">
        <f aca="false">arclethnm(C323,D323,C324,D324)/6</f>
        <v>#NAME?</v>
      </c>
      <c r="H324" s="36" t="e">
        <f aca="false">G324*0.5144</f>
        <v>#NAME?</v>
      </c>
      <c r="I324" s="19" t="n">
        <v>950</v>
      </c>
      <c r="J324" s="18" t="n">
        <v>15</v>
      </c>
      <c r="K324" s="19" t="n">
        <f aca="false">B324-4.25</f>
        <v>2.5</v>
      </c>
    </row>
    <row r="325" customFormat="false" ht="12.75" hidden="false" customHeight="false" outlineLevel="0" collapsed="false">
      <c r="A325" s="19" t="n">
        <f aca="false">B325-0.25</f>
        <v>6.75</v>
      </c>
      <c r="B325" s="19" t="n">
        <v>7</v>
      </c>
      <c r="C325" s="18" t="n">
        <v>21.2</v>
      </c>
      <c r="D325" s="18" t="n">
        <v>-70.3</v>
      </c>
      <c r="E325" s="19" t="n">
        <v>115</v>
      </c>
      <c r="F325" s="35" t="n">
        <f aca="false">E325*0.5144</f>
        <v>59.156</v>
      </c>
      <c r="G325" s="22" t="e">
        <f aca="false">arclethnm(C324,D324,C325,D325)/6</f>
        <v>#NAME?</v>
      </c>
      <c r="H325" s="36" t="e">
        <f aca="false">G325*0.5144</f>
        <v>#NAME?</v>
      </c>
      <c r="I325" s="19" t="n">
        <v>947</v>
      </c>
      <c r="J325" s="18" t="n">
        <v>15</v>
      </c>
      <c r="K325" s="19" t="n">
        <f aca="false">B325-4.25</f>
        <v>2.75</v>
      </c>
    </row>
    <row r="326" customFormat="false" ht="12.75" hidden="false" customHeight="false" outlineLevel="0" collapsed="false">
      <c r="A326" s="19" t="n">
        <f aca="false">B326-0.25</f>
        <v>7</v>
      </c>
      <c r="B326" s="19" t="n">
        <v>7.25</v>
      </c>
      <c r="C326" s="18" t="n">
        <v>21.1</v>
      </c>
      <c r="D326" s="18" t="n">
        <v>-71.6</v>
      </c>
      <c r="E326" s="19" t="n">
        <v>115</v>
      </c>
      <c r="F326" s="35" t="n">
        <f aca="false">E326*0.5144</f>
        <v>59.156</v>
      </c>
      <c r="G326" s="22" t="e">
        <f aca="false">arclethnm(C325,D325,C326,D326)/6</f>
        <v>#NAME?</v>
      </c>
      <c r="H326" s="36" t="e">
        <f aca="false">G326*0.5144</f>
        <v>#NAME?</v>
      </c>
      <c r="I326" s="19" t="n">
        <v>947</v>
      </c>
      <c r="J326" s="18" t="n">
        <v>15</v>
      </c>
      <c r="K326" s="19" t="n">
        <f aca="false">B326-4.25</f>
        <v>3</v>
      </c>
    </row>
    <row r="327" customFormat="false" ht="12.75" hidden="false" customHeight="false" outlineLevel="0" collapsed="false">
      <c r="A327" s="19" t="n">
        <f aca="false">B327-0.25</f>
        <v>7.25</v>
      </c>
      <c r="B327" s="19" t="n">
        <v>7.5</v>
      </c>
      <c r="C327" s="18" t="n">
        <v>21</v>
      </c>
      <c r="D327" s="18" t="n">
        <v>-72.8</v>
      </c>
      <c r="E327" s="19" t="n">
        <v>110</v>
      </c>
      <c r="F327" s="35" t="n">
        <f aca="false">E327*0.5144</f>
        <v>56.584</v>
      </c>
      <c r="G327" s="22" t="e">
        <f aca="false">arclethnm(C326,D326,C327,D327)/6</f>
        <v>#NAME?</v>
      </c>
      <c r="H327" s="36" t="e">
        <f aca="false">G327*0.5144</f>
        <v>#NAME?</v>
      </c>
      <c r="I327" s="19" t="n">
        <v>947</v>
      </c>
      <c r="J327" s="18" t="n">
        <v>15</v>
      </c>
      <c r="K327" s="19" t="n">
        <f aca="false">B327-4.25</f>
        <v>3.25</v>
      </c>
    </row>
    <row r="328" customFormat="false" ht="12.75" hidden="false" customHeight="false" outlineLevel="0" collapsed="false">
      <c r="A328" s="19" t="n">
        <f aca="false">B328-0.25</f>
        <v>7.29</v>
      </c>
      <c r="B328" s="19" t="n">
        <v>7.54</v>
      </c>
      <c r="C328" s="18" t="n">
        <v>21</v>
      </c>
      <c r="D328" s="18" t="n">
        <v>-73.2</v>
      </c>
      <c r="E328" s="19" t="n">
        <v>110</v>
      </c>
      <c r="F328" s="35" t="n">
        <f aca="false">E328*0.5144</f>
        <v>56.584</v>
      </c>
      <c r="G328" s="22" t="e">
        <f aca="false">arclethnm(C327,D327,C328,D328)/6</f>
        <v>#NAME?</v>
      </c>
      <c r="H328" s="36" t="e">
        <f aca="false">G328*0.5144</f>
        <v>#NAME?</v>
      </c>
      <c r="I328" s="19" t="n">
        <v>947</v>
      </c>
      <c r="J328" s="18" t="n">
        <v>-999</v>
      </c>
      <c r="K328" s="19" t="n">
        <f aca="false">B328-4.25</f>
        <v>3.29</v>
      </c>
    </row>
    <row r="329" customFormat="false" ht="12.75" hidden="false" customHeight="false" outlineLevel="0" collapsed="false">
      <c r="A329" s="19" t="n">
        <f aca="false">B329-0.25</f>
        <v>7.5</v>
      </c>
      <c r="B329" s="19" t="n">
        <v>7.75</v>
      </c>
      <c r="C329" s="18" t="n">
        <v>21</v>
      </c>
      <c r="D329" s="18" t="n">
        <v>-74</v>
      </c>
      <c r="E329" s="19" t="n">
        <v>105</v>
      </c>
      <c r="F329" s="35" t="n">
        <f aca="false">E329*0.5144</f>
        <v>54.012</v>
      </c>
      <c r="G329" s="22" t="e">
        <f aca="false">arclethnm(C328,D328,C329,D329)/6</f>
        <v>#NAME?</v>
      </c>
      <c r="H329" s="36" t="e">
        <f aca="false">G329*0.5144</f>
        <v>#NAME?</v>
      </c>
      <c r="I329" s="19" t="n">
        <v>946</v>
      </c>
      <c r="J329" s="18" t="n">
        <v>15</v>
      </c>
      <c r="K329" s="19" t="n">
        <f aca="false">B329-4.25</f>
        <v>3.5</v>
      </c>
    </row>
    <row r="330" customFormat="false" ht="12.75" hidden="false" customHeight="false" outlineLevel="0" collapsed="false">
      <c r="A330" s="19" t="n">
        <f aca="false">B330-0.25</f>
        <v>7.75</v>
      </c>
      <c r="B330" s="19" t="n">
        <v>8</v>
      </c>
      <c r="C330" s="18" t="n">
        <v>21.1</v>
      </c>
      <c r="D330" s="18" t="n">
        <v>-75.2</v>
      </c>
      <c r="E330" s="19" t="n">
        <v>115</v>
      </c>
      <c r="F330" s="35" t="n">
        <f aca="false">E330*0.5144</f>
        <v>59.156</v>
      </c>
      <c r="G330" s="22" t="e">
        <f aca="false">arclethnm(C329,D329,C330,D330)/6</f>
        <v>#NAME?</v>
      </c>
      <c r="H330" s="36" t="e">
        <f aca="false">G330*0.5144</f>
        <v>#NAME?</v>
      </c>
      <c r="I330" s="19" t="n">
        <v>945</v>
      </c>
      <c r="J330" s="18" t="n">
        <v>15</v>
      </c>
      <c r="K330" s="19" t="n">
        <f aca="false">B330-4.25</f>
        <v>3.75</v>
      </c>
    </row>
    <row r="331" customFormat="false" ht="12.75" hidden="false" customHeight="false" outlineLevel="0" collapsed="false">
      <c r="A331" s="19" t="n">
        <f aca="false">B331-0.25</f>
        <v>7.83</v>
      </c>
      <c r="B331" s="19" t="n">
        <v>8.08</v>
      </c>
      <c r="C331" s="18" t="n">
        <v>21.1</v>
      </c>
      <c r="D331" s="18" t="n">
        <v>-75.7</v>
      </c>
      <c r="E331" s="19" t="n">
        <v>115</v>
      </c>
      <c r="F331" s="35" t="n">
        <f aca="false">E331*0.5144</f>
        <v>59.156</v>
      </c>
      <c r="G331" s="22" t="e">
        <f aca="false">arclethnm(C330,D330,C331,D331)/6</f>
        <v>#NAME?</v>
      </c>
      <c r="H331" s="36" t="e">
        <f aca="false">G331*0.5144</f>
        <v>#NAME?</v>
      </c>
      <c r="I331" s="19" t="n">
        <v>945</v>
      </c>
      <c r="J331" s="18" t="n">
        <v>-999</v>
      </c>
      <c r="K331" s="19" t="n">
        <f aca="false">B331-4.25</f>
        <v>3.83</v>
      </c>
    </row>
    <row r="332" customFormat="false" ht="12.75" hidden="false" customHeight="false" outlineLevel="0" collapsed="false">
      <c r="A332" s="19" t="n">
        <f aca="false">B332-0.25</f>
        <v>8</v>
      </c>
      <c r="B332" s="19" t="n">
        <v>8.25</v>
      </c>
      <c r="C332" s="18" t="n">
        <v>21.1</v>
      </c>
      <c r="D332" s="18" t="n">
        <v>-76.5</v>
      </c>
      <c r="E332" s="19" t="n">
        <v>100</v>
      </c>
      <c r="F332" s="35" t="n">
        <f aca="false">E332*0.5144</f>
        <v>51.44</v>
      </c>
      <c r="G332" s="22" t="e">
        <f aca="false">arclethnm(C331,D331,C332,D332)/6</f>
        <v>#NAME?</v>
      </c>
      <c r="H332" s="36" t="e">
        <f aca="false">G332*0.5144</f>
        <v>#NAME?</v>
      </c>
      <c r="I332" s="19" t="n">
        <v>950</v>
      </c>
      <c r="J332" s="18" t="n">
        <v>15</v>
      </c>
      <c r="K332" s="19" t="n">
        <f aca="false">B332-4.25</f>
        <v>4</v>
      </c>
    </row>
    <row r="333" customFormat="false" ht="12.75" hidden="false" customHeight="false" outlineLevel="0" collapsed="false">
      <c r="A333" s="19" t="n">
        <f aca="false">B333-0.25</f>
        <v>8.25</v>
      </c>
      <c r="B333" s="19" t="n">
        <v>8.5</v>
      </c>
      <c r="C333" s="18" t="n">
        <v>21.1</v>
      </c>
      <c r="D333" s="18" t="n">
        <v>-77.8</v>
      </c>
      <c r="E333" s="19" t="n">
        <v>85</v>
      </c>
      <c r="F333" s="35" t="n">
        <f aca="false">E333*0.5144</f>
        <v>43.724</v>
      </c>
      <c r="G333" s="22" t="e">
        <f aca="false">arclethnm(C332,D332,C333,D333)/6</f>
        <v>#NAME?</v>
      </c>
      <c r="H333" s="36" t="e">
        <f aca="false">G333*0.5144</f>
        <v>#NAME?</v>
      </c>
      <c r="I333" s="19" t="n">
        <v>960</v>
      </c>
      <c r="J333" s="18" t="n">
        <v>15</v>
      </c>
      <c r="K333" s="19" t="n">
        <f aca="false">B333-4.25</f>
        <v>4.25</v>
      </c>
    </row>
    <row r="334" customFormat="false" ht="12.75" hidden="false" customHeight="false" outlineLevel="0" collapsed="false">
      <c r="A334" s="19" t="n">
        <f aca="false">B334-0.25</f>
        <v>8.5</v>
      </c>
      <c r="B334" s="19" t="n">
        <v>8.75</v>
      </c>
      <c r="C334" s="18" t="n">
        <v>21.2</v>
      </c>
      <c r="D334" s="18" t="n">
        <v>-79.1</v>
      </c>
      <c r="E334" s="19" t="n">
        <v>75</v>
      </c>
      <c r="F334" s="35" t="n">
        <f aca="false">E334*0.5144</f>
        <v>38.58</v>
      </c>
      <c r="G334" s="22" t="e">
        <f aca="false">arclethnm(C333,D333,C334,D334)/6</f>
        <v>#NAME?</v>
      </c>
      <c r="H334" s="36" t="e">
        <f aca="false">G334*0.5144</f>
        <v>#NAME?</v>
      </c>
      <c r="I334" s="19" t="n">
        <v>964</v>
      </c>
      <c r="J334" s="18" t="n">
        <v>15</v>
      </c>
      <c r="K334" s="19" t="n">
        <f aca="false">B334-4.25</f>
        <v>4.5</v>
      </c>
    </row>
    <row r="335" customFormat="false" ht="12.75" hidden="false" customHeight="false" outlineLevel="0" collapsed="false">
      <c r="A335" s="19" t="n">
        <f aca="false">B335-0.25</f>
        <v>8.75</v>
      </c>
      <c r="B335" s="19" t="n">
        <v>9</v>
      </c>
      <c r="C335" s="18" t="n">
        <v>21.5</v>
      </c>
      <c r="D335" s="18" t="n">
        <v>-80.3</v>
      </c>
      <c r="E335" s="19" t="n">
        <v>70</v>
      </c>
      <c r="F335" s="35" t="n">
        <f aca="false">E335*0.5144</f>
        <v>36.008</v>
      </c>
      <c r="G335" s="22" t="e">
        <f aca="false">arclethnm(C334,D334,C335,D335)/6</f>
        <v>#NAME?</v>
      </c>
      <c r="H335" s="36" t="e">
        <f aca="false">G335*0.5144</f>
        <v>#NAME?</v>
      </c>
      <c r="I335" s="19" t="n">
        <v>965</v>
      </c>
      <c r="J335" s="18" t="n">
        <v>15</v>
      </c>
      <c r="K335" s="19" t="n">
        <f aca="false">B335-4.25</f>
        <v>4.75</v>
      </c>
    </row>
    <row r="336" customFormat="false" ht="12.75" hidden="false" customHeight="false" outlineLevel="0" collapsed="false">
      <c r="A336" s="19" t="n">
        <f aca="false">B336-0.25</f>
        <v>9</v>
      </c>
      <c r="B336" s="19" t="n">
        <v>9.25</v>
      </c>
      <c r="C336" s="18" t="n">
        <v>22</v>
      </c>
      <c r="D336" s="18" t="n">
        <v>-81.4</v>
      </c>
      <c r="E336" s="19" t="n">
        <v>70</v>
      </c>
      <c r="F336" s="35" t="n">
        <f aca="false">E336*0.5144</f>
        <v>36.008</v>
      </c>
      <c r="G336" s="22" t="e">
        <f aca="false">arclethnm(C335,D335,C336,D336)/6</f>
        <v>#NAME?</v>
      </c>
      <c r="H336" s="36" t="e">
        <f aca="false">G336*0.5144</f>
        <v>#NAME?</v>
      </c>
      <c r="I336" s="19" t="n">
        <v>965</v>
      </c>
      <c r="J336" s="18" t="n">
        <v>15</v>
      </c>
      <c r="K336" s="19" t="n">
        <f aca="false">B336-4.25</f>
        <v>5</v>
      </c>
    </row>
    <row r="337" customFormat="false" ht="12.75" hidden="false" customHeight="false" outlineLevel="0" collapsed="false">
      <c r="A337" s="19" t="n">
        <f aca="false">B337-0.25</f>
        <v>9.25</v>
      </c>
      <c r="B337" s="19" t="n">
        <v>9.5</v>
      </c>
      <c r="C337" s="18" t="n">
        <v>22.4</v>
      </c>
      <c r="D337" s="18" t="n">
        <v>-82.4</v>
      </c>
      <c r="E337" s="19" t="n">
        <v>70</v>
      </c>
      <c r="F337" s="35" t="n">
        <f aca="false">E337*0.5144</f>
        <v>36.008</v>
      </c>
      <c r="G337" s="22" t="e">
        <f aca="false">arclethnm(C336,D336,C337,D337)/6</f>
        <v>#NAME?</v>
      </c>
      <c r="H337" s="36" t="e">
        <f aca="false">G337*0.5144</f>
        <v>#NAME?</v>
      </c>
      <c r="I337" s="19" t="n">
        <v>965</v>
      </c>
      <c r="J337" s="18" t="n">
        <v>15</v>
      </c>
      <c r="K337" s="19" t="n">
        <f aca="false">B337-4.25</f>
        <v>5.25</v>
      </c>
    </row>
    <row r="338" customFormat="false" ht="12.75" hidden="false" customHeight="false" outlineLevel="0" collapsed="false">
      <c r="A338" s="19" t="n">
        <f aca="false">B338-0.25</f>
        <v>9.33</v>
      </c>
      <c r="B338" s="19" t="n">
        <v>9.58</v>
      </c>
      <c r="C338" s="18" t="n">
        <v>22.6</v>
      </c>
      <c r="D338" s="18" t="n">
        <v>-82.9</v>
      </c>
      <c r="E338" s="19" t="n">
        <v>70</v>
      </c>
      <c r="F338" s="35" t="n">
        <f aca="false">E338*0.5144</f>
        <v>36.008</v>
      </c>
      <c r="G338" s="22" t="e">
        <f aca="false">arclethnm(C337,D337,C338,D338)/6</f>
        <v>#NAME?</v>
      </c>
      <c r="H338" s="36" t="e">
        <f aca="false">G338*0.5144</f>
        <v>#NAME?</v>
      </c>
      <c r="I338" s="19" t="n">
        <v>965</v>
      </c>
      <c r="J338" s="18" t="n">
        <v>-999</v>
      </c>
      <c r="K338" s="19" t="n">
        <f aca="false">B338-4.25</f>
        <v>5.33</v>
      </c>
    </row>
    <row r="339" customFormat="false" ht="12.75" hidden="false" customHeight="false" outlineLevel="0" collapsed="false">
      <c r="A339" s="19" t="n">
        <f aca="false">B339-0.25</f>
        <v>9.5</v>
      </c>
      <c r="B339" s="19" t="n">
        <v>9.75</v>
      </c>
      <c r="C339" s="18" t="n">
        <v>22.7</v>
      </c>
      <c r="D339" s="18" t="n">
        <v>-83.3</v>
      </c>
      <c r="E339" s="19" t="n">
        <v>65</v>
      </c>
      <c r="F339" s="35" t="n">
        <f aca="false">E339*0.5144</f>
        <v>33.436</v>
      </c>
      <c r="G339" s="22" t="e">
        <f aca="false">arclethnm(C338,D338,C339,D339)/6</f>
        <v>#NAME?</v>
      </c>
      <c r="H339" s="36" t="e">
        <f aca="false">G339*0.5144</f>
        <v>#NAME?</v>
      </c>
      <c r="I339" s="19" t="n">
        <v>966</v>
      </c>
      <c r="J339" s="18" t="n">
        <v>15</v>
      </c>
      <c r="K339" s="19" t="n">
        <f aca="false">B339-4.25</f>
        <v>5.5</v>
      </c>
    </row>
    <row r="340" customFormat="false" ht="12.75" hidden="false" customHeight="false" outlineLevel="0" collapsed="false">
      <c r="A340" s="19" t="n">
        <f aca="false">B340-0.25</f>
        <v>9.75</v>
      </c>
      <c r="B340" s="19" t="n">
        <v>10</v>
      </c>
      <c r="C340" s="18" t="n">
        <v>23.1</v>
      </c>
      <c r="D340" s="18" t="n">
        <v>-84</v>
      </c>
      <c r="E340" s="19" t="n">
        <v>65</v>
      </c>
      <c r="F340" s="35" t="n">
        <f aca="false">E340*0.5144</f>
        <v>33.436</v>
      </c>
      <c r="G340" s="22" t="e">
        <f aca="false">arclethnm(C339,D339,C340,D340)/6</f>
        <v>#NAME?</v>
      </c>
      <c r="H340" s="36" t="e">
        <f aca="false">G340*0.5144</f>
        <v>#NAME?</v>
      </c>
      <c r="I340" s="19" t="n">
        <v>968</v>
      </c>
      <c r="J340" s="18" t="n">
        <v>15</v>
      </c>
      <c r="K340" s="19" t="n">
        <f aca="false">B340-4.25</f>
        <v>5.75</v>
      </c>
    </row>
    <row r="341" customFormat="false" ht="12.75" hidden="false" customHeight="false" outlineLevel="0" collapsed="false">
      <c r="A341" s="19" t="n">
        <f aca="false">B341-0.25</f>
        <v>10</v>
      </c>
      <c r="B341" s="19" t="n">
        <v>10.25</v>
      </c>
      <c r="C341" s="18" t="n">
        <v>23.4</v>
      </c>
      <c r="D341" s="18" t="n">
        <v>-84.6</v>
      </c>
      <c r="E341" s="19" t="n">
        <v>70</v>
      </c>
      <c r="F341" s="35" t="n">
        <f aca="false">E341*0.5144</f>
        <v>36.008</v>
      </c>
      <c r="G341" s="22" t="e">
        <f aca="false">arclethnm(C340,D340,C341,D341)/6</f>
        <v>#NAME?</v>
      </c>
      <c r="H341" s="36" t="e">
        <f aca="false">G341*0.5144</f>
        <v>#NAME?</v>
      </c>
      <c r="I341" s="19" t="n">
        <v>964</v>
      </c>
      <c r="J341" s="18" t="n">
        <v>15</v>
      </c>
      <c r="K341" s="19" t="n">
        <f aca="false">B341-4.25</f>
        <v>6</v>
      </c>
    </row>
    <row r="342" customFormat="false" ht="12.75" hidden="false" customHeight="false" outlineLevel="0" collapsed="false">
      <c r="A342" s="19" t="n">
        <f aca="false">B342-0.25</f>
        <v>10.25</v>
      </c>
      <c r="B342" s="19" t="n">
        <v>10.5</v>
      </c>
      <c r="C342" s="18" t="n">
        <v>23.8</v>
      </c>
      <c r="D342" s="18" t="n">
        <v>-85.2</v>
      </c>
      <c r="E342" s="19" t="n">
        <v>80</v>
      </c>
      <c r="F342" s="35" t="n">
        <f aca="false">E342*0.5144</f>
        <v>41.152</v>
      </c>
      <c r="G342" s="22" t="e">
        <f aca="false">arclethnm(C341,D341,C342,D342)/6</f>
        <v>#NAME?</v>
      </c>
      <c r="H342" s="36" t="e">
        <f aca="false">G342*0.5144</f>
        <v>#NAME?</v>
      </c>
      <c r="I342" s="19" t="n">
        <v>959</v>
      </c>
      <c r="J342" s="18" t="n">
        <v>10</v>
      </c>
      <c r="K342" s="19" t="n">
        <f aca="false">B342-4.25</f>
        <v>6.25</v>
      </c>
    </row>
    <row r="343" customFormat="false" ht="12.75" hidden="false" customHeight="false" outlineLevel="0" collapsed="false">
      <c r="A343" s="19" t="n">
        <f aca="false">B343-0.25</f>
        <v>10.5</v>
      </c>
      <c r="B343" s="19" t="n">
        <v>10.75</v>
      </c>
      <c r="C343" s="18" t="n">
        <v>24.2</v>
      </c>
      <c r="D343" s="18" t="n">
        <v>-85.8</v>
      </c>
      <c r="E343" s="19" t="n">
        <v>85</v>
      </c>
      <c r="F343" s="35" t="n">
        <f aca="false">E343*0.5144</f>
        <v>43.724</v>
      </c>
      <c r="G343" s="22" t="e">
        <f aca="false">arclethnm(C342,D342,C343,D343)/6</f>
        <v>#NAME?</v>
      </c>
      <c r="H343" s="36" t="e">
        <f aca="false">G343*0.5144</f>
        <v>#NAME?</v>
      </c>
      <c r="I343" s="19" t="n">
        <v>958</v>
      </c>
      <c r="J343" s="18" t="n">
        <v>10</v>
      </c>
      <c r="K343" s="19" t="n">
        <f aca="false">B343-4.25</f>
        <v>6.5</v>
      </c>
    </row>
    <row r="344" customFormat="false" ht="12.75" hidden="false" customHeight="false" outlineLevel="0" collapsed="false">
      <c r="A344" s="19" t="n">
        <f aca="false">B344-0.25</f>
        <v>10.75</v>
      </c>
      <c r="B344" s="19" t="n">
        <v>11</v>
      </c>
      <c r="C344" s="18" t="n">
        <v>24.7</v>
      </c>
      <c r="D344" s="18" t="n">
        <v>-86.4</v>
      </c>
      <c r="E344" s="19" t="n">
        <v>85</v>
      </c>
      <c r="F344" s="35" t="n">
        <f aca="false">E344*0.5144</f>
        <v>43.724</v>
      </c>
      <c r="G344" s="22" t="e">
        <f aca="false">arclethnm(C343,D343,C344,D344)/6</f>
        <v>#NAME?</v>
      </c>
      <c r="H344" s="36" t="e">
        <f aca="false">G344*0.5144</f>
        <v>#NAME?</v>
      </c>
      <c r="I344" s="19" t="n">
        <v>944</v>
      </c>
      <c r="J344" s="18" t="n">
        <v>10</v>
      </c>
      <c r="K344" s="19" t="n">
        <f aca="false">B344-4.25</f>
        <v>6.75</v>
      </c>
    </row>
    <row r="345" customFormat="false" ht="12.75" hidden="false" customHeight="false" outlineLevel="0" collapsed="false">
      <c r="A345" s="19" t="n">
        <f aca="false">B345-0.25</f>
        <v>11</v>
      </c>
      <c r="B345" s="19" t="n">
        <v>11.25</v>
      </c>
      <c r="C345" s="18" t="n">
        <v>25.1</v>
      </c>
      <c r="D345" s="18" t="n">
        <v>-87.1</v>
      </c>
      <c r="E345" s="19" t="n">
        <v>85</v>
      </c>
      <c r="F345" s="35" t="n">
        <f aca="false">E345*0.5144</f>
        <v>43.724</v>
      </c>
      <c r="G345" s="22" t="e">
        <f aca="false">arclethnm(C344,D344,C345,D345)/6</f>
        <v>#NAME?</v>
      </c>
      <c r="H345" s="36" t="e">
        <f aca="false">G345*0.5144</f>
        <v>#NAME?</v>
      </c>
      <c r="I345" s="19" t="n">
        <v>945</v>
      </c>
      <c r="J345" s="18" t="n">
        <v>10</v>
      </c>
      <c r="K345" s="19" t="n">
        <f aca="false">B345-4.25</f>
        <v>7</v>
      </c>
    </row>
    <row r="346" customFormat="false" ht="12.75" hidden="false" customHeight="false" outlineLevel="0" collapsed="false">
      <c r="A346" s="19" t="n">
        <f aca="false">B346-0.25</f>
        <v>11.25</v>
      </c>
      <c r="B346" s="19" t="n">
        <v>11.5</v>
      </c>
      <c r="C346" s="18" t="n">
        <v>25.5</v>
      </c>
      <c r="D346" s="18" t="n">
        <v>-88</v>
      </c>
      <c r="E346" s="19" t="n">
        <v>85</v>
      </c>
      <c r="F346" s="35" t="n">
        <f aca="false">E346*0.5144</f>
        <v>43.724</v>
      </c>
      <c r="G346" s="22" t="e">
        <f aca="false">arclethnm(C345,D345,C346,D346)/6</f>
        <v>#NAME?</v>
      </c>
      <c r="H346" s="36" t="e">
        <f aca="false">G346*0.5144</f>
        <v>#NAME?</v>
      </c>
      <c r="I346" s="19" t="n">
        <v>946</v>
      </c>
      <c r="J346" s="18" t="n">
        <v>10</v>
      </c>
      <c r="K346" s="19" t="n">
        <f aca="false">B346-4.25</f>
        <v>7.25</v>
      </c>
    </row>
    <row r="347" customFormat="false" ht="12.75" hidden="false" customHeight="false" outlineLevel="0" collapsed="false">
      <c r="A347" s="19" t="n">
        <f aca="false">B347-0.25</f>
        <v>11.5</v>
      </c>
      <c r="B347" s="19" t="n">
        <v>11.75</v>
      </c>
      <c r="C347" s="18" t="n">
        <v>25.8</v>
      </c>
      <c r="D347" s="18" t="n">
        <v>-88.9</v>
      </c>
      <c r="E347" s="19" t="n">
        <v>85</v>
      </c>
      <c r="F347" s="35" t="n">
        <f aca="false">E347*0.5144</f>
        <v>43.724</v>
      </c>
      <c r="G347" s="22" t="e">
        <f aca="false">arclethnm(C346,D346,C347,D347)/6</f>
        <v>#NAME?</v>
      </c>
      <c r="H347" s="36" t="e">
        <f aca="false">G347*0.5144</f>
        <v>#NAME?</v>
      </c>
      <c r="I347" s="19" t="n">
        <v>952</v>
      </c>
      <c r="J347" s="18" t="n">
        <v>60</v>
      </c>
      <c r="K347" s="19" t="n">
        <f aca="false">B347-4.25</f>
        <v>7.5</v>
      </c>
    </row>
    <row r="348" customFormat="false" ht="12.75" hidden="false" customHeight="false" outlineLevel="0" collapsed="false">
      <c r="A348" s="19" t="n">
        <f aca="false">B348-0.25</f>
        <v>11.75</v>
      </c>
      <c r="B348" s="19" t="n">
        <v>12</v>
      </c>
      <c r="C348" s="18" t="n">
        <v>26.1</v>
      </c>
      <c r="D348" s="18" t="n">
        <v>-90</v>
      </c>
      <c r="E348" s="19" t="n">
        <v>85</v>
      </c>
      <c r="F348" s="35" t="n">
        <f aca="false">E348*0.5144</f>
        <v>43.724</v>
      </c>
      <c r="G348" s="22" t="e">
        <f aca="false">arclethnm(C347,D347,C348,D348)/6</f>
        <v>#NAME?</v>
      </c>
      <c r="H348" s="36" t="e">
        <f aca="false">G348*0.5144</f>
        <v>#NAME?</v>
      </c>
      <c r="I348" s="19" t="n">
        <v>954</v>
      </c>
      <c r="J348" s="18" t="n">
        <v>80</v>
      </c>
      <c r="K348" s="19" t="n">
        <f aca="false">B348-4.25</f>
        <v>7.75</v>
      </c>
    </row>
    <row r="349" customFormat="false" ht="12.75" hidden="false" customHeight="false" outlineLevel="0" collapsed="false">
      <c r="A349" s="19" t="n">
        <f aca="false">B349-0.25</f>
        <v>12</v>
      </c>
      <c r="B349" s="19" t="n">
        <v>12.25</v>
      </c>
      <c r="C349" s="18" t="n">
        <v>26.4</v>
      </c>
      <c r="D349" s="18" t="n">
        <v>-91.1</v>
      </c>
      <c r="E349" s="19" t="n">
        <v>90</v>
      </c>
      <c r="F349" s="35" t="n">
        <f aca="false">E349*0.5144</f>
        <v>46.296</v>
      </c>
      <c r="G349" s="22" t="e">
        <f aca="false">arclethnm(C348,D348,C349,D349)/6</f>
        <v>#NAME?</v>
      </c>
      <c r="H349" s="36" t="e">
        <f aca="false">G349*0.5144</f>
        <v>#NAME?</v>
      </c>
      <c r="I349" s="19" t="n">
        <v>954</v>
      </c>
      <c r="J349" s="18" t="n">
        <v>50</v>
      </c>
      <c r="K349" s="19" t="n">
        <f aca="false">B349-4.25</f>
        <v>8</v>
      </c>
    </row>
    <row r="350" customFormat="false" ht="12.75" hidden="false" customHeight="false" outlineLevel="0" collapsed="false">
      <c r="A350" s="19" t="n">
        <f aca="false">B350-0.25</f>
        <v>12.25</v>
      </c>
      <c r="B350" s="19" t="n">
        <v>12.5</v>
      </c>
      <c r="C350" s="18" t="n">
        <v>26.9</v>
      </c>
      <c r="D350" s="18" t="n">
        <v>-92.2</v>
      </c>
      <c r="E350" s="19" t="n">
        <v>95</v>
      </c>
      <c r="F350" s="35" t="n">
        <f aca="false">E350*0.5144</f>
        <v>48.868</v>
      </c>
      <c r="G350" s="22" t="e">
        <f aca="false">arclethnm(C349,D349,C350,D350)/6</f>
        <v>#NAME?</v>
      </c>
      <c r="H350" s="36" t="e">
        <f aca="false">G350*0.5144</f>
        <v>#NAME?</v>
      </c>
      <c r="I350" s="19" t="n">
        <v>954</v>
      </c>
      <c r="J350" s="18" t="n">
        <v>50</v>
      </c>
      <c r="K350" s="19" t="n">
        <f aca="false">B350-4.25</f>
        <v>8.25</v>
      </c>
    </row>
    <row r="351" customFormat="false" ht="12.75" hidden="false" customHeight="false" outlineLevel="0" collapsed="false">
      <c r="A351" s="19" t="n">
        <f aca="false">B351-0.25</f>
        <v>12.5</v>
      </c>
      <c r="B351" s="19" t="n">
        <v>12.75</v>
      </c>
      <c r="C351" s="18" t="n">
        <v>27.5</v>
      </c>
      <c r="D351" s="18" t="n">
        <v>-93.2</v>
      </c>
      <c r="E351" s="19" t="n">
        <v>95</v>
      </c>
      <c r="F351" s="35" t="n">
        <f aca="false">E351*0.5144</f>
        <v>48.868</v>
      </c>
      <c r="G351" s="22" t="e">
        <f aca="false">arclethnm(C350,D350,C351,D351)/6</f>
        <v>#NAME?</v>
      </c>
      <c r="H351" s="36" t="e">
        <f aca="false">G351*0.5144</f>
        <v>#NAME?</v>
      </c>
      <c r="I351" s="19" t="n">
        <v>954</v>
      </c>
      <c r="J351" s="18" t="n">
        <v>50</v>
      </c>
      <c r="K351" s="19" t="n">
        <f aca="false">B351-4.25</f>
        <v>8.5</v>
      </c>
    </row>
    <row r="352" customFormat="false" ht="12.75" hidden="false" customHeight="false" outlineLevel="0" collapsed="false">
      <c r="A352" s="19" t="n">
        <f aca="false">B352-0.25</f>
        <v>12.75</v>
      </c>
      <c r="B352" s="19" t="n">
        <v>13</v>
      </c>
      <c r="C352" s="18" t="n">
        <v>28.3</v>
      </c>
      <c r="D352" s="18" t="n">
        <v>-94</v>
      </c>
      <c r="E352" s="19" t="n">
        <v>95</v>
      </c>
      <c r="F352" s="35" t="n">
        <f aca="false">E352*0.5144</f>
        <v>48.868</v>
      </c>
      <c r="G352" s="22" t="e">
        <f aca="false">arclethnm(C351,D351,C352,D352)/6</f>
        <v>#NAME?</v>
      </c>
      <c r="H352" s="36" t="e">
        <f aca="false">G352*0.5144</f>
        <v>#NAME?</v>
      </c>
      <c r="I352" s="19" t="n">
        <v>952</v>
      </c>
      <c r="J352" s="18" t="n">
        <v>40</v>
      </c>
      <c r="K352" s="19" t="n">
        <f aca="false">B352-4.25</f>
        <v>8.75</v>
      </c>
    </row>
    <row r="353" customFormat="false" ht="12.75" hidden="false" customHeight="false" outlineLevel="0" collapsed="false">
      <c r="A353" s="19" t="n">
        <f aca="false">B353-0.25</f>
        <v>13</v>
      </c>
      <c r="B353" s="19" t="n">
        <v>13.25</v>
      </c>
      <c r="C353" s="18" t="n">
        <v>29.1</v>
      </c>
      <c r="D353" s="18" t="n">
        <v>-94.6</v>
      </c>
      <c r="E353" s="19" t="n">
        <v>95</v>
      </c>
      <c r="F353" s="35" t="n">
        <f aca="false">E353*0.5144</f>
        <v>48.868</v>
      </c>
      <c r="G353" s="22" t="e">
        <f aca="false">arclethnm(C352,D352,C353,D353)/6</f>
        <v>#NAME?</v>
      </c>
      <c r="H353" s="36" t="e">
        <f aca="false">G353*0.5144</f>
        <v>#NAME?</v>
      </c>
      <c r="I353" s="19" t="n">
        <v>951</v>
      </c>
      <c r="J353" s="18" t="n">
        <v>30</v>
      </c>
      <c r="K353" s="19" t="n">
        <f aca="false">B353-4.25</f>
        <v>9</v>
      </c>
    </row>
    <row r="354" customFormat="false" ht="12.75" hidden="false" customHeight="false" outlineLevel="0" collapsed="false">
      <c r="A354" s="19" t="n">
        <f aca="false">B354-0.25</f>
        <v>13.04</v>
      </c>
      <c r="B354" s="19" t="n">
        <v>13.29</v>
      </c>
      <c r="C354" s="18" t="n">
        <v>29.3</v>
      </c>
      <c r="D354" s="18" t="n">
        <v>-94.7</v>
      </c>
      <c r="E354" s="19" t="n">
        <v>95</v>
      </c>
      <c r="F354" s="35" t="n">
        <f aca="false">E354*0.5144</f>
        <v>48.868</v>
      </c>
      <c r="G354" s="22" t="e">
        <f aca="false">arclethnm(C353,D353,C354,D354)/6</f>
        <v>#NAME?</v>
      </c>
      <c r="H354" s="36" t="e">
        <f aca="false">G354*0.5144</f>
        <v>#NAME?</v>
      </c>
      <c r="I354" s="19" t="n">
        <v>950</v>
      </c>
      <c r="J354" s="18" t="n">
        <v>-999</v>
      </c>
      <c r="K354" s="19" t="n">
        <f aca="false">B354-4.25</f>
        <v>9.04</v>
      </c>
    </row>
    <row r="355" customFormat="false" ht="12.75" hidden="false" customHeight="false" outlineLevel="0" collapsed="false">
      <c r="A355" s="19" t="n">
        <f aca="false">B355-0.25</f>
        <v>13.25</v>
      </c>
      <c r="B355" s="19" t="n">
        <v>13.5</v>
      </c>
      <c r="C355" s="18" t="n">
        <v>30.3</v>
      </c>
      <c r="D355" s="18" t="n">
        <v>-95.2</v>
      </c>
      <c r="E355" s="19" t="n">
        <v>85</v>
      </c>
      <c r="F355" s="35" t="n">
        <f aca="false">E355*0.5144</f>
        <v>43.724</v>
      </c>
      <c r="G355" s="22" t="e">
        <f aca="false">arclethnm(C354,D354,C355,D355)/6</f>
        <v>#NAME?</v>
      </c>
      <c r="H355" s="36" t="e">
        <f aca="false">G355*0.5144</f>
        <v>#NAME?</v>
      </c>
      <c r="I355" s="19" t="n">
        <v>959</v>
      </c>
      <c r="J355" s="18" t="n">
        <v>30</v>
      </c>
      <c r="K355" s="19" t="n">
        <f aca="false">B355-4.25</f>
        <v>9.25</v>
      </c>
    </row>
    <row r="356" customFormat="false" ht="12.75" hidden="false" customHeight="false" outlineLevel="0" collapsed="false">
      <c r="A356" s="19" t="n">
        <f aca="false">B356-0.25</f>
        <v>13.5</v>
      </c>
      <c r="B356" s="19" t="n">
        <v>13.75</v>
      </c>
      <c r="C356" s="18" t="n">
        <v>31.7</v>
      </c>
      <c r="D356" s="18" t="n">
        <v>-95.3</v>
      </c>
      <c r="E356" s="19" t="n">
        <v>50</v>
      </c>
      <c r="F356" s="35" t="n">
        <f aca="false">E356*0.5144</f>
        <v>25.72</v>
      </c>
      <c r="G356" s="22" t="e">
        <f aca="false">arclethnm(C355,D355,C356,D356)/6</f>
        <v>#NAME?</v>
      </c>
      <c r="H356" s="36" t="e">
        <f aca="false">G356*0.5144</f>
        <v>#NAME?</v>
      </c>
      <c r="I356" s="19" t="n">
        <v>974</v>
      </c>
      <c r="J356" s="18" t="n">
        <v>40</v>
      </c>
      <c r="K356" s="19" t="n">
        <f aca="false">B356-4.25</f>
        <v>9.5</v>
      </c>
    </row>
    <row r="357" customFormat="false" ht="12.75" hidden="false" customHeight="false" outlineLevel="0" collapsed="false">
      <c r="A357" s="19" t="n">
        <f aca="false">B357-0.25</f>
        <v>13.75</v>
      </c>
      <c r="B357" s="19" t="n">
        <v>14</v>
      </c>
      <c r="C357" s="18" t="n">
        <v>33.5</v>
      </c>
      <c r="D357" s="18" t="n">
        <v>-94.9</v>
      </c>
      <c r="E357" s="19" t="n">
        <v>35</v>
      </c>
      <c r="F357" s="35" t="n">
        <f aca="false">E357*0.5144</f>
        <v>18.004</v>
      </c>
      <c r="G357" s="22" t="e">
        <f aca="false">arclethnm(C356,D356,C357,D357)/6</f>
        <v>#NAME?</v>
      </c>
      <c r="H357" s="36" t="e">
        <f aca="false">G357*0.5144</f>
        <v>#NAME?</v>
      </c>
      <c r="I357" s="19" t="n">
        <v>980</v>
      </c>
      <c r="J357" s="18" t="n">
        <v>50</v>
      </c>
      <c r="K357" s="19" t="n">
        <f aca="false">B357-4.25</f>
        <v>9.75</v>
      </c>
    </row>
    <row r="358" customFormat="false" ht="12.75" hidden="false" customHeight="false" outlineLevel="0" collapsed="false">
      <c r="A358" s="19" t="n">
        <f aca="false">B358-0.25</f>
        <v>14</v>
      </c>
      <c r="B358" s="19" t="n">
        <v>14.25</v>
      </c>
      <c r="C358" s="18" t="n">
        <v>35.5</v>
      </c>
      <c r="D358" s="18" t="n">
        <v>-93.7</v>
      </c>
      <c r="E358" s="19" t="n">
        <v>35</v>
      </c>
      <c r="F358" s="35" t="n">
        <f aca="false">E358*0.5144</f>
        <v>18.004</v>
      </c>
      <c r="G358" s="22" t="e">
        <f aca="false">arclethnm(C357,D357,C358,D358)/6</f>
        <v>#NAME?</v>
      </c>
      <c r="H358" s="36" t="e">
        <f aca="false">G358*0.5144</f>
        <v>#NAME?</v>
      </c>
      <c r="I358" s="19" t="n">
        <v>985</v>
      </c>
      <c r="J358" s="18" t="n">
        <v>50</v>
      </c>
      <c r="K358" s="19" t="n">
        <f aca="false">B358-4.25</f>
        <v>10</v>
      </c>
    </row>
    <row r="359" customFormat="false" ht="12.75" hidden="false" customHeight="false" outlineLevel="0" collapsed="false">
      <c r="A359" s="19" t="n">
        <f aca="false">B359-0.25</f>
        <v>14.25</v>
      </c>
      <c r="B359" s="19" t="n">
        <v>14.5</v>
      </c>
      <c r="C359" s="18" t="n">
        <v>37.6</v>
      </c>
      <c r="D359" s="18" t="n">
        <v>-91</v>
      </c>
      <c r="E359" s="19" t="n">
        <v>40</v>
      </c>
      <c r="F359" s="35" t="n">
        <f aca="false">E359*0.5144</f>
        <v>20.576</v>
      </c>
      <c r="G359" s="22" t="e">
        <f aca="false">arclethnm(C358,D358,C359,D359)/6</f>
        <v>#NAME?</v>
      </c>
      <c r="H359" s="36" t="e">
        <f aca="false">G359*0.5144</f>
        <v>#NAME?</v>
      </c>
      <c r="I359" s="19" t="n">
        <v>987</v>
      </c>
      <c r="J359" s="18" t="n">
        <v>0</v>
      </c>
      <c r="K359" s="19" t="n">
        <f aca="false">B359-4.25</f>
        <v>10.25</v>
      </c>
    </row>
    <row r="360" customFormat="false" ht="12.75" hidden="false" customHeight="false" outlineLevel="0" collapsed="false">
      <c r="A360" s="19" t="n">
        <f aca="false">B360-0.25</f>
        <v>14.5</v>
      </c>
      <c r="B360" s="19" t="n">
        <v>14.75</v>
      </c>
      <c r="C360" s="18" t="n">
        <v>40.3</v>
      </c>
      <c r="D360" s="18" t="n">
        <v>-87.2</v>
      </c>
      <c r="E360" s="19" t="n">
        <v>50</v>
      </c>
      <c r="F360" s="35" t="n">
        <f aca="false">E360*0.5144</f>
        <v>25.72</v>
      </c>
      <c r="G360" s="22" t="e">
        <f aca="false">arclethnm(C359,D359,C360,D360)/6</f>
        <v>#NAME?</v>
      </c>
      <c r="H360" s="36" t="e">
        <f aca="false">G360*0.5144</f>
        <v>#NAME?</v>
      </c>
      <c r="I360" s="19" t="n">
        <v>988</v>
      </c>
      <c r="J360" s="18" t="n">
        <v>0</v>
      </c>
      <c r="K360" s="19" t="n">
        <f aca="false">B360-4.25</f>
        <v>10.5</v>
      </c>
    </row>
    <row r="361" customFormat="false" ht="12.75" hidden="false" customHeight="false" outlineLevel="0" collapsed="false">
      <c r="A361" s="19" t="n">
        <f aca="false">B361-0.25</f>
        <v>14.75</v>
      </c>
      <c r="B361" s="19" t="n">
        <v>15</v>
      </c>
      <c r="C361" s="18" t="n">
        <v>43.3</v>
      </c>
      <c r="D361" s="18" t="n">
        <v>-81.5</v>
      </c>
      <c r="E361" s="19" t="n">
        <v>50</v>
      </c>
      <c r="F361" s="35" t="n">
        <f aca="false">E361*0.5144</f>
        <v>25.72</v>
      </c>
      <c r="G361" s="22" t="e">
        <f aca="false">arclethnm(C360,D360,C361,D361)/6</f>
        <v>#NAME?</v>
      </c>
      <c r="H361" s="36" t="e">
        <f aca="false">G361*0.5144</f>
        <v>#NAME?</v>
      </c>
      <c r="I361" s="19" t="n">
        <v>988</v>
      </c>
      <c r="J361" s="18" t="n">
        <v>0</v>
      </c>
      <c r="K361" s="19" t="n">
        <f aca="false">B361-4.25</f>
        <v>10.75</v>
      </c>
    </row>
    <row r="362" customFormat="false" ht="12.75" hidden="false" customHeight="false" outlineLevel="0" collapsed="false">
      <c r="A362" s="19" t="n">
        <f aca="false">B362-0.25</f>
        <v>15</v>
      </c>
      <c r="B362" s="19" t="n">
        <v>15.25</v>
      </c>
      <c r="C362" s="18" t="n">
        <v>45.8</v>
      </c>
      <c r="D362" s="18" t="n">
        <v>-75.3</v>
      </c>
      <c r="E362" s="19" t="n">
        <v>40</v>
      </c>
      <c r="F362" s="35" t="n">
        <f aca="false">E362*0.5144</f>
        <v>20.576</v>
      </c>
      <c r="G362" s="22" t="e">
        <f aca="false">arclethnm(C361,D361,C362,D362)/6</f>
        <v>#NAME?</v>
      </c>
      <c r="H362" s="36" t="e">
        <f aca="false">G362*0.5144</f>
        <v>#NAME?</v>
      </c>
      <c r="I362" s="19" t="n">
        <v>986</v>
      </c>
      <c r="J362" s="18" t="n">
        <v>0</v>
      </c>
      <c r="K362" s="19" t="n">
        <f aca="false">B362-4.25</f>
        <v>11</v>
      </c>
    </row>
    <row r="363" customFormat="false" ht="12.75" hidden="false" customHeight="false" outlineLevel="0" collapsed="false">
      <c r="A363" s="19" t="n">
        <f aca="false">B363-0.25</f>
        <v>15.25</v>
      </c>
      <c r="B363" s="19" t="n">
        <v>15.5</v>
      </c>
      <c r="C363" s="18" t="n">
        <v>47.2</v>
      </c>
      <c r="D363" s="18" t="n">
        <v>-71.1</v>
      </c>
      <c r="E363" s="19" t="n">
        <v>35</v>
      </c>
      <c r="F363" s="35" t="n">
        <f aca="false">E363*0.5144</f>
        <v>18.004</v>
      </c>
      <c r="G363" s="22" t="e">
        <f aca="false">arclethnm(C362,D362,C363,D363)/6</f>
        <v>#NAME?</v>
      </c>
      <c r="H363" s="36" t="e">
        <f aca="false">G363*0.5144</f>
        <v>#NAME?</v>
      </c>
      <c r="I363" s="19" t="n">
        <v>986</v>
      </c>
      <c r="J363" s="18" t="n">
        <v>0</v>
      </c>
      <c r="K363" s="19" t="n">
        <f aca="false">B363-4.25</f>
        <v>11.25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64" activeCellId="0" sqref="B64"/>
    </sheetView>
  </sheetViews>
  <sheetFormatPr defaultRowHeight="12.75"/>
  <cols>
    <col collapsed="false" hidden="false" max="1025" min="1" style="0" width="11.530612244898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V42"/>
  <sheetViews>
    <sheetView windowProtection="false" showFormulas="false" showGridLines="true" showRowColHeaders="true" showZeros="true" rightToLeft="false" tabSelected="false" showOutlineSymbols="true" defaultGridColor="true" view="normal" topLeftCell="BD1" colorId="64" zoomScale="110" zoomScaleNormal="110" zoomScalePageLayoutView="100" workbookViewId="0">
      <selection pane="topLeft" activeCell="BL52" activeCellId="0" sqref="BL52"/>
    </sheetView>
  </sheetViews>
  <sheetFormatPr defaultRowHeight="12.75"/>
  <cols>
    <col collapsed="false" hidden="false" max="1025" min="1" style="0" width="11.530612244898"/>
  </cols>
  <sheetData>
    <row r="1" customFormat="false" ht="18" hidden="false" customHeight="false" outlineLevel="0" collapsed="false">
      <c r="A1" s="38" t="s">
        <v>128</v>
      </c>
      <c r="B1" s="39"/>
      <c r="C1" s="40" t="n">
        <v>1</v>
      </c>
      <c r="D1" s="41" t="n">
        <v>1.25</v>
      </c>
      <c r="E1" s="41" t="n">
        <v>1.5</v>
      </c>
      <c r="F1" s="40" t="n">
        <v>1.75</v>
      </c>
      <c r="G1" s="42" t="n">
        <v>2</v>
      </c>
      <c r="H1" s="41" t="n">
        <v>2.25</v>
      </c>
      <c r="I1" s="41" t="n">
        <v>2.5</v>
      </c>
      <c r="J1" s="40" t="n">
        <v>2.75</v>
      </c>
      <c r="K1" s="42" t="n">
        <v>3</v>
      </c>
      <c r="L1" s="41" t="n">
        <v>3.25</v>
      </c>
      <c r="M1" s="41" t="n">
        <v>3.5</v>
      </c>
      <c r="N1" s="40" t="n">
        <v>3.75</v>
      </c>
      <c r="O1" s="42" t="n">
        <v>4</v>
      </c>
      <c r="P1" s="41" t="n">
        <v>4.25</v>
      </c>
      <c r="Q1" s="41" t="n">
        <v>4.5</v>
      </c>
      <c r="R1" s="40" t="n">
        <v>4.75</v>
      </c>
      <c r="S1" s="42" t="n">
        <v>5</v>
      </c>
      <c r="T1" s="41" t="n">
        <v>5.25</v>
      </c>
      <c r="U1" s="41" t="n">
        <v>5.5</v>
      </c>
      <c r="V1" s="40" t="n">
        <v>5.75</v>
      </c>
      <c r="W1" s="42" t="n">
        <v>6</v>
      </c>
      <c r="X1" s="41" t="n">
        <v>6.25</v>
      </c>
      <c r="Y1" s="41" t="n">
        <v>6.5</v>
      </c>
      <c r="Z1" s="40" t="n">
        <v>6.75</v>
      </c>
      <c r="AA1" s="42" t="n">
        <v>7</v>
      </c>
      <c r="AB1" s="41" t="n">
        <v>7.25</v>
      </c>
      <c r="AC1" s="41" t="n">
        <v>7.5</v>
      </c>
      <c r="AD1" s="40" t="n">
        <v>7.75</v>
      </c>
      <c r="AE1" s="42" t="n">
        <v>8</v>
      </c>
      <c r="AF1" s="41" t="n">
        <v>8.25</v>
      </c>
      <c r="AG1" s="41" t="n">
        <v>8.5</v>
      </c>
      <c r="AH1" s="41" t="n">
        <v>8.75</v>
      </c>
      <c r="AI1" s="40" t="n">
        <v>9</v>
      </c>
      <c r="AJ1" s="42" t="n">
        <v>9.25</v>
      </c>
      <c r="AK1" s="41" t="n">
        <v>9.5</v>
      </c>
      <c r="AL1" s="41" t="n">
        <v>9.75</v>
      </c>
      <c r="AM1" s="41" t="n">
        <v>10</v>
      </c>
      <c r="AN1" s="40" t="n">
        <v>10.25</v>
      </c>
      <c r="AO1" s="42" t="n">
        <v>10.5</v>
      </c>
      <c r="AP1" s="41" t="n">
        <v>10.75</v>
      </c>
      <c r="AQ1" s="41" t="n">
        <v>11</v>
      </c>
      <c r="AR1" s="41" t="n">
        <v>11.25</v>
      </c>
      <c r="AS1" s="40" t="n">
        <v>11.5</v>
      </c>
      <c r="AT1" s="42" t="n">
        <v>11.75</v>
      </c>
      <c r="AU1" s="41" t="n">
        <v>12</v>
      </c>
      <c r="AV1" s="41" t="n">
        <v>12.25</v>
      </c>
      <c r="AW1" s="41" t="n">
        <v>12.5</v>
      </c>
      <c r="AX1" s="40" t="n">
        <v>12.75</v>
      </c>
      <c r="AY1" s="42" t="n">
        <v>13</v>
      </c>
      <c r="AZ1" s="41" t="n">
        <v>13.25</v>
      </c>
      <c r="BA1" s="41" t="n">
        <v>13.5</v>
      </c>
      <c r="BB1" s="41" t="n">
        <v>13.75</v>
      </c>
      <c r="BC1" s="40" t="n">
        <v>14</v>
      </c>
      <c r="BD1" s="42" t="n">
        <v>14.25</v>
      </c>
      <c r="BE1" s="41" t="n">
        <v>14.5</v>
      </c>
      <c r="BF1" s="41" t="n">
        <v>14.75</v>
      </c>
      <c r="BG1" s="41" t="n">
        <v>15</v>
      </c>
      <c r="BH1" s="40" t="n">
        <v>15.25</v>
      </c>
      <c r="BI1" s="42" t="n">
        <v>15.5</v>
      </c>
      <c r="BJ1" s="41" t="n">
        <v>15.75</v>
      </c>
      <c r="BK1" s="41" t="n">
        <v>16</v>
      </c>
      <c r="BL1" s="41" t="n">
        <v>16.25</v>
      </c>
      <c r="BM1" s="40" t="n">
        <v>16.5</v>
      </c>
      <c r="BN1" s="42" t="n">
        <v>16.75</v>
      </c>
      <c r="BO1" s="41" t="n">
        <v>17</v>
      </c>
      <c r="BP1" s="41" t="n">
        <v>17.25</v>
      </c>
      <c r="BQ1" s="41" t="n">
        <v>17.5</v>
      </c>
      <c r="BR1" s="40" t="n">
        <v>17.75</v>
      </c>
      <c r="BS1" s="42" t="n">
        <v>18</v>
      </c>
      <c r="BT1" s="41" t="n">
        <v>18.25</v>
      </c>
      <c r="BU1" s="41" t="n">
        <v>18.5</v>
      </c>
      <c r="BV1" s="40" t="n">
        <v>18.75</v>
      </c>
    </row>
    <row r="2" customFormat="false" ht="15" hidden="false" customHeight="false" outlineLevel="0" collapsed="false">
      <c r="A2" s="43" t="s">
        <v>164</v>
      </c>
      <c r="B2" s="44" t="s">
        <v>139</v>
      </c>
      <c r="F2" s="45" t="n">
        <v>20.576</v>
      </c>
      <c r="G2" s="45" t="n">
        <v>25.72</v>
      </c>
      <c r="H2" s="45" t="n">
        <v>30.864</v>
      </c>
      <c r="I2" s="45" t="n">
        <v>36.008</v>
      </c>
      <c r="J2" s="45" t="n">
        <v>36.008</v>
      </c>
      <c r="K2" s="45" t="n">
        <v>30.864</v>
      </c>
      <c r="L2" s="45" t="n">
        <v>23.148</v>
      </c>
      <c r="M2" s="45" t="n">
        <v>15.432</v>
      </c>
    </row>
    <row r="3" customFormat="false" ht="15" hidden="false" customHeight="false" outlineLevel="0" collapsed="false">
      <c r="A3" s="43"/>
      <c r="B3" s="46" t="s">
        <v>140</v>
      </c>
      <c r="E3" s="45" t="n">
        <v>12.86</v>
      </c>
      <c r="F3" s="45" t="n">
        <v>15.432</v>
      </c>
      <c r="G3" s="45" t="n">
        <v>15.432</v>
      </c>
      <c r="H3" s="45" t="n">
        <v>18.004</v>
      </c>
      <c r="I3" s="45" t="n">
        <v>18.004</v>
      </c>
      <c r="J3" s="45" t="n">
        <v>20.576</v>
      </c>
      <c r="K3" s="45" t="n">
        <v>23.148</v>
      </c>
      <c r="L3" s="45" t="n">
        <v>25.72</v>
      </c>
      <c r="M3" s="47" t="n">
        <v>28.292</v>
      </c>
      <c r="N3" s="47" t="n">
        <v>28.292</v>
      </c>
      <c r="O3" s="47" t="n">
        <v>28.292</v>
      </c>
      <c r="P3" s="47" t="n">
        <v>30.864</v>
      </c>
      <c r="Q3" s="47" t="n">
        <v>30.864</v>
      </c>
      <c r="R3" s="47" t="n">
        <v>30.864</v>
      </c>
      <c r="S3" s="47" t="n">
        <v>30.864</v>
      </c>
      <c r="T3" s="47" t="n">
        <v>33.436</v>
      </c>
      <c r="U3" s="47" t="n">
        <v>36.008</v>
      </c>
      <c r="V3" s="47" t="n">
        <v>36.008</v>
      </c>
      <c r="W3" s="47" t="n">
        <v>38.58</v>
      </c>
      <c r="X3" s="47" t="n">
        <v>41.152</v>
      </c>
      <c r="Y3" s="47" t="n">
        <v>43.724</v>
      </c>
      <c r="Z3" s="47" t="n">
        <v>46.296</v>
      </c>
      <c r="AA3" s="47" t="n">
        <v>48.868</v>
      </c>
      <c r="AB3" s="47" t="n">
        <v>51.44</v>
      </c>
      <c r="AC3" s="47" t="n">
        <v>54.012</v>
      </c>
      <c r="AD3" s="47" t="n">
        <v>56.584</v>
      </c>
      <c r="AE3" s="47" t="n">
        <v>56.584</v>
      </c>
      <c r="AF3" s="47" t="n">
        <v>43.724</v>
      </c>
      <c r="AG3" s="47" t="n">
        <v>33.436</v>
      </c>
      <c r="AH3" s="47" t="n">
        <v>20.576</v>
      </c>
      <c r="AI3" s="47" t="n">
        <v>18.004</v>
      </c>
      <c r="AJ3" s="47" t="n">
        <v>18.004</v>
      </c>
      <c r="AK3" s="47" t="n">
        <v>18.004</v>
      </c>
      <c r="AL3" s="47" t="n">
        <v>20.576</v>
      </c>
      <c r="AM3" s="47" t="n">
        <v>25.72</v>
      </c>
      <c r="AN3" s="47" t="n">
        <v>28.292</v>
      </c>
      <c r="AO3" s="47" t="n">
        <v>25.72</v>
      </c>
      <c r="AP3" s="47" t="n">
        <v>23.148</v>
      </c>
      <c r="AQ3" s="47" t="n">
        <v>23.148</v>
      </c>
      <c r="AR3" s="47" t="n">
        <v>23.148</v>
      </c>
    </row>
    <row r="4" customFormat="false" ht="15" hidden="false" customHeight="false" outlineLevel="0" collapsed="false">
      <c r="A4" s="43"/>
      <c r="B4" s="48" t="s">
        <v>141</v>
      </c>
      <c r="E4" s="45" t="n">
        <v>15.432</v>
      </c>
      <c r="F4" s="45" t="n">
        <v>18.004</v>
      </c>
      <c r="G4" s="45" t="n">
        <v>18.004</v>
      </c>
      <c r="H4" s="45" t="n">
        <v>20.576</v>
      </c>
      <c r="I4" s="45" t="n">
        <v>23.148</v>
      </c>
      <c r="J4" s="45" t="n">
        <v>25.72</v>
      </c>
      <c r="K4" s="45" t="n">
        <v>28.292</v>
      </c>
      <c r="L4" s="45" t="n">
        <v>30.864</v>
      </c>
      <c r="M4" s="47" t="n">
        <v>33.436</v>
      </c>
      <c r="N4" s="47" t="n">
        <v>36.008</v>
      </c>
      <c r="O4" s="47" t="n">
        <v>36.008</v>
      </c>
      <c r="P4" s="47" t="n">
        <v>36.008</v>
      </c>
      <c r="Q4" s="47" t="n">
        <v>36.008</v>
      </c>
      <c r="R4" s="47" t="n">
        <v>36.008</v>
      </c>
      <c r="S4" s="47" t="n">
        <v>36.008</v>
      </c>
      <c r="T4" s="47" t="n">
        <v>36.008</v>
      </c>
      <c r="U4" s="47" t="n">
        <v>33.436</v>
      </c>
      <c r="V4" s="47" t="n">
        <v>33.436</v>
      </c>
      <c r="W4" s="47" t="n">
        <v>28.292</v>
      </c>
      <c r="X4" s="47" t="n">
        <v>18.004</v>
      </c>
      <c r="Y4" s="47" t="n">
        <v>12.86</v>
      </c>
      <c r="Z4" s="47" t="n">
        <v>12.86</v>
      </c>
      <c r="AA4" s="47" t="n">
        <v>10.288</v>
      </c>
      <c r="AB4" s="47" t="n">
        <v>10.288</v>
      </c>
      <c r="AC4" s="47" t="n">
        <v>10.288</v>
      </c>
      <c r="AD4" s="47" t="n">
        <v>10.288</v>
      </c>
    </row>
    <row r="5" customFormat="false" ht="15" hidden="false" customHeight="false" outlineLevel="0" collapsed="false">
      <c r="A5" s="43"/>
      <c r="B5" s="48" t="s">
        <v>142</v>
      </c>
      <c r="E5" s="45" t="n">
        <v>15.432</v>
      </c>
      <c r="F5" s="45" t="n">
        <v>15.432</v>
      </c>
      <c r="G5" s="45" t="n">
        <v>15.432</v>
      </c>
      <c r="H5" s="45" t="n">
        <v>15.432</v>
      </c>
      <c r="I5" s="45" t="n">
        <v>18.004</v>
      </c>
      <c r="J5" s="45" t="n">
        <v>18.004</v>
      </c>
      <c r="K5" s="45" t="n">
        <v>20.576</v>
      </c>
      <c r="L5" s="45" t="n">
        <v>20.576</v>
      </c>
      <c r="M5" s="47" t="n">
        <v>23.148</v>
      </c>
      <c r="N5" s="47" t="n">
        <v>25.72</v>
      </c>
      <c r="O5" s="47" t="n">
        <v>25.72</v>
      </c>
      <c r="P5" s="47" t="n">
        <v>25.72</v>
      </c>
      <c r="Q5" s="47" t="n">
        <v>28.292</v>
      </c>
      <c r="R5" s="47" t="n">
        <v>28.292</v>
      </c>
      <c r="S5" s="47" t="n">
        <v>30.864</v>
      </c>
      <c r="T5" s="47" t="n">
        <v>36.008</v>
      </c>
      <c r="U5" s="47" t="n">
        <v>41.152</v>
      </c>
      <c r="V5" s="47" t="n">
        <v>46.296</v>
      </c>
      <c r="W5" s="47" t="n">
        <v>46.296</v>
      </c>
      <c r="X5" s="47" t="n">
        <v>36.008</v>
      </c>
      <c r="Y5" s="47" t="n">
        <v>41.152</v>
      </c>
      <c r="Z5" s="47" t="n">
        <v>46.296</v>
      </c>
      <c r="AA5" s="47" t="n">
        <v>48.868</v>
      </c>
      <c r="AB5" s="47" t="n">
        <v>51.44</v>
      </c>
      <c r="AC5" s="47" t="n">
        <v>51.44</v>
      </c>
      <c r="AD5" s="47" t="n">
        <v>51.44</v>
      </c>
      <c r="AE5" s="47" t="n">
        <v>51.44</v>
      </c>
      <c r="AF5" s="47" t="n">
        <v>51.44</v>
      </c>
      <c r="AG5" s="47" t="n">
        <v>51.44</v>
      </c>
      <c r="AH5" s="47" t="n">
        <v>43.724</v>
      </c>
      <c r="AI5" s="47" t="n">
        <v>33.436</v>
      </c>
      <c r="AJ5" s="47" t="n">
        <v>23.148</v>
      </c>
      <c r="AK5" s="47" t="n">
        <v>20.576</v>
      </c>
      <c r="AL5" s="47" t="n">
        <v>18.004</v>
      </c>
      <c r="AM5" s="47" t="n">
        <v>18.004</v>
      </c>
      <c r="AN5" s="47" t="n">
        <v>15.432</v>
      </c>
      <c r="AO5" s="47" t="n">
        <v>12.86</v>
      </c>
      <c r="AP5" s="47" t="n">
        <v>12.86</v>
      </c>
      <c r="AQ5" s="47" t="n">
        <v>38.58</v>
      </c>
      <c r="AR5" s="47" t="n">
        <v>33.436</v>
      </c>
      <c r="AS5" s="47" t="n">
        <v>18.004</v>
      </c>
      <c r="AT5" s="47" t="n">
        <v>15.432</v>
      </c>
      <c r="AU5" s="47" t="n">
        <v>12.86</v>
      </c>
      <c r="AV5" s="47" t="n">
        <v>10.288</v>
      </c>
      <c r="AW5" s="47" t="n">
        <v>10.288</v>
      </c>
      <c r="AX5" s="47" t="n">
        <v>7.716</v>
      </c>
      <c r="AY5" s="47" t="n">
        <v>5.144</v>
      </c>
      <c r="AZ5" s="47" t="n">
        <v>5.144</v>
      </c>
    </row>
    <row r="6" customFormat="false" ht="15" hidden="false" customHeight="false" outlineLevel="0" collapsed="false">
      <c r="A6" s="43"/>
      <c r="B6" s="48" t="s">
        <v>143</v>
      </c>
      <c r="F6" s="45" t="n">
        <v>18.004</v>
      </c>
      <c r="G6" s="45" t="n">
        <v>23.148</v>
      </c>
      <c r="H6" s="45" t="n">
        <v>25.72</v>
      </c>
      <c r="I6" s="45" t="n">
        <v>30.864</v>
      </c>
      <c r="J6" s="45" t="n">
        <v>36.008</v>
      </c>
      <c r="K6" s="45" t="n">
        <v>41.152</v>
      </c>
      <c r="L6" s="45" t="n">
        <v>46.296</v>
      </c>
      <c r="M6" s="45" t="n">
        <v>46.296</v>
      </c>
      <c r="N6" s="47" t="n">
        <v>46.296</v>
      </c>
      <c r="O6" s="47" t="n">
        <v>38.58</v>
      </c>
      <c r="P6" s="47" t="n">
        <v>25.72</v>
      </c>
      <c r="Q6" s="47" t="n">
        <v>20.576</v>
      </c>
      <c r="R6" s="47" t="n">
        <v>20.576</v>
      </c>
      <c r="S6" s="47" t="n">
        <v>18.004</v>
      </c>
      <c r="T6" s="47" t="n">
        <v>15.432</v>
      </c>
      <c r="U6" s="47" t="n">
        <v>15.432</v>
      </c>
      <c r="V6" s="47" t="n">
        <v>12.86</v>
      </c>
    </row>
    <row r="7" customFormat="false" ht="15" hidden="false" customHeight="false" outlineLevel="0" collapsed="false">
      <c r="A7" s="43"/>
      <c r="B7" s="48" t="s">
        <v>144</v>
      </c>
      <c r="C7" s="45" t="n">
        <v>20.576</v>
      </c>
      <c r="D7" s="45" t="n">
        <v>23.148</v>
      </c>
      <c r="E7" s="45" t="n">
        <v>25.72</v>
      </c>
      <c r="F7" s="45" t="n">
        <v>28.292</v>
      </c>
      <c r="G7" s="45" t="n">
        <v>30.864</v>
      </c>
      <c r="H7" s="45" t="n">
        <v>36.008</v>
      </c>
      <c r="I7" s="45" t="n">
        <v>41.152</v>
      </c>
      <c r="J7" s="45" t="n">
        <v>43.724</v>
      </c>
      <c r="K7" s="47" t="n">
        <v>46.296</v>
      </c>
      <c r="L7" s="47" t="n">
        <v>48.868</v>
      </c>
      <c r="M7" s="47" t="n">
        <v>51.44</v>
      </c>
      <c r="N7" s="47" t="n">
        <v>51.44</v>
      </c>
      <c r="O7" s="47" t="n">
        <v>51.44</v>
      </c>
      <c r="P7" s="47" t="n">
        <v>51.44</v>
      </c>
      <c r="Q7" s="47" t="n">
        <v>51.44</v>
      </c>
      <c r="R7" s="47" t="n">
        <v>46.296</v>
      </c>
      <c r="S7" s="47" t="n">
        <v>38.58</v>
      </c>
      <c r="T7" s="47" t="n">
        <v>33.436</v>
      </c>
      <c r="U7" s="47" t="n">
        <v>25.72</v>
      </c>
      <c r="V7" s="47" t="n">
        <v>20.576</v>
      </c>
      <c r="W7" s="47" t="n">
        <v>18.004</v>
      </c>
      <c r="X7" s="47" t="n">
        <v>15.432</v>
      </c>
      <c r="Y7" s="47" t="n">
        <v>12.86</v>
      </c>
    </row>
    <row r="8" customFormat="false" ht="15" hidden="false" customHeight="false" outlineLevel="0" collapsed="false">
      <c r="A8" s="43"/>
      <c r="B8" s="48" t="s">
        <v>145</v>
      </c>
      <c r="F8" s="45" t="n">
        <v>15.432</v>
      </c>
      <c r="G8" s="45" t="n">
        <v>15.432</v>
      </c>
      <c r="H8" s="45" t="n">
        <v>18.004</v>
      </c>
      <c r="I8" s="45" t="n">
        <v>20.576</v>
      </c>
      <c r="J8" s="45" t="n">
        <v>23.148</v>
      </c>
      <c r="K8" s="45" t="n">
        <v>23.148</v>
      </c>
      <c r="L8" s="45" t="n">
        <v>23.148</v>
      </c>
      <c r="M8" s="45" t="n">
        <v>20.576</v>
      </c>
      <c r="N8" s="47" t="n">
        <v>20.576</v>
      </c>
      <c r="O8" s="47" t="n">
        <v>20.576</v>
      </c>
      <c r="P8" s="47" t="n">
        <v>20.576</v>
      </c>
      <c r="Q8" s="47" t="n">
        <v>20.576</v>
      </c>
      <c r="R8" s="47" t="n">
        <v>20.576</v>
      </c>
      <c r="S8" s="47" t="n">
        <v>20.576</v>
      </c>
      <c r="T8" s="47" t="n">
        <v>20.576</v>
      </c>
      <c r="U8" s="47" t="n">
        <v>20.576</v>
      </c>
      <c r="V8" s="47" t="n">
        <v>20.576</v>
      </c>
      <c r="W8" s="47" t="n">
        <v>18.004</v>
      </c>
      <c r="X8" s="47" t="n">
        <v>18.004</v>
      </c>
      <c r="Y8" s="47" t="n">
        <v>20.576</v>
      </c>
      <c r="Z8" s="47" t="n">
        <v>23.148</v>
      </c>
      <c r="AA8" s="47" t="n">
        <v>28.292</v>
      </c>
      <c r="AB8" s="47" t="n">
        <v>30.864</v>
      </c>
      <c r="AC8" s="47" t="n">
        <v>33.436</v>
      </c>
      <c r="AD8" s="47" t="n">
        <v>36.008</v>
      </c>
      <c r="AE8" s="47" t="n">
        <v>36.008</v>
      </c>
      <c r="AF8" s="47" t="n">
        <v>36.008</v>
      </c>
      <c r="AG8" s="47" t="n">
        <v>33.436</v>
      </c>
      <c r="AH8" s="47" t="n">
        <v>25.72</v>
      </c>
      <c r="AI8" s="47" t="n">
        <v>18.004</v>
      </c>
      <c r="AJ8" s="47" t="n">
        <v>15.432</v>
      </c>
      <c r="AK8" s="47" t="n">
        <v>15.432</v>
      </c>
      <c r="AL8" s="47" t="n">
        <v>12.86</v>
      </c>
      <c r="AM8" s="47" t="n">
        <v>10.288</v>
      </c>
      <c r="AN8" s="47" t="n">
        <v>10.288</v>
      </c>
      <c r="AO8" s="47" t="n">
        <v>10.288</v>
      </c>
      <c r="AP8" s="47" t="n">
        <v>10.288</v>
      </c>
      <c r="AQ8" s="47" t="n">
        <v>7.716</v>
      </c>
    </row>
    <row r="9" customFormat="false" ht="15" hidden="false" customHeight="false" outlineLevel="0" collapsed="false">
      <c r="A9" s="43"/>
      <c r="B9" s="48" t="s">
        <v>146</v>
      </c>
      <c r="F9" s="45" t="n">
        <v>15.432</v>
      </c>
      <c r="G9" s="45" t="n">
        <v>15.432</v>
      </c>
      <c r="H9" s="45" t="n">
        <v>15.432</v>
      </c>
      <c r="I9" s="45" t="n">
        <v>15.432</v>
      </c>
      <c r="J9" s="45" t="n">
        <v>15.432</v>
      </c>
      <c r="K9" s="45" t="n">
        <v>15.432</v>
      </c>
      <c r="L9" s="45" t="n">
        <v>15.432</v>
      </c>
      <c r="M9" s="45" t="n">
        <v>15.432</v>
      </c>
      <c r="N9" s="47" t="n">
        <v>15.432</v>
      </c>
      <c r="O9" s="47" t="n">
        <v>15.432</v>
      </c>
      <c r="P9" s="47" t="n">
        <v>15.432</v>
      </c>
      <c r="Q9" s="47" t="n">
        <v>15.432</v>
      </c>
      <c r="R9" s="47" t="n">
        <v>15.432</v>
      </c>
      <c r="S9" s="47" t="n">
        <v>15.432</v>
      </c>
      <c r="T9" s="47" t="n">
        <v>15.432</v>
      </c>
      <c r="U9" s="47" t="n">
        <v>15.432</v>
      </c>
      <c r="V9" s="47" t="n">
        <v>15.432</v>
      </c>
      <c r="W9" s="47" t="n">
        <v>18.004</v>
      </c>
      <c r="X9" s="47" t="n">
        <v>20.576</v>
      </c>
      <c r="Y9" s="47" t="n">
        <v>25.72</v>
      </c>
      <c r="Z9" s="47" t="n">
        <v>28.292</v>
      </c>
      <c r="AA9" s="47" t="n">
        <v>30.864</v>
      </c>
      <c r="AB9" s="47" t="n">
        <v>33.436</v>
      </c>
      <c r="AC9" s="47" t="n">
        <v>38.58</v>
      </c>
      <c r="AD9" s="47" t="n">
        <v>43.724</v>
      </c>
      <c r="AE9" s="47" t="n">
        <v>48.868</v>
      </c>
      <c r="AF9" s="47" t="n">
        <v>48.868</v>
      </c>
      <c r="AG9" s="47" t="n">
        <v>48.868</v>
      </c>
      <c r="AH9" s="47" t="n">
        <v>48.868</v>
      </c>
      <c r="AI9" s="47" t="n">
        <v>48.868</v>
      </c>
      <c r="AJ9" s="47" t="n">
        <v>28.292</v>
      </c>
      <c r="AK9" s="47" t="n">
        <v>20.576</v>
      </c>
      <c r="AL9" s="47" t="n">
        <v>18.004</v>
      </c>
      <c r="AM9" s="47" t="n">
        <v>15.432</v>
      </c>
      <c r="AN9" s="47" t="n">
        <v>12.86</v>
      </c>
      <c r="AO9" s="47" t="n">
        <v>12.86</v>
      </c>
      <c r="AP9" s="47" t="n">
        <v>12.86</v>
      </c>
      <c r="AQ9" s="47" t="n">
        <v>12.86</v>
      </c>
      <c r="AR9" s="47" t="n">
        <v>12.86</v>
      </c>
      <c r="AS9" s="47" t="n">
        <v>12.86</v>
      </c>
      <c r="AT9" s="47" t="n">
        <v>12.86</v>
      </c>
    </row>
    <row r="10" customFormat="false" ht="15" hidden="false" customHeight="false" outlineLevel="0" collapsed="false">
      <c r="A10" s="43"/>
      <c r="B10" s="46" t="s">
        <v>21</v>
      </c>
      <c r="D10" s="45" t="n">
        <v>30.864</v>
      </c>
      <c r="E10" s="45" t="n">
        <v>43.724</v>
      </c>
      <c r="F10" s="45" t="n">
        <v>38.58</v>
      </c>
      <c r="G10" s="45" t="n">
        <v>38.58</v>
      </c>
      <c r="H10" s="45" t="n">
        <v>41.152</v>
      </c>
      <c r="I10" s="45" t="n">
        <v>41.152</v>
      </c>
      <c r="J10" s="45" t="n">
        <v>43.724</v>
      </c>
      <c r="K10" s="45" t="n">
        <v>48.868</v>
      </c>
      <c r="L10" s="47" t="n">
        <v>59.156</v>
      </c>
      <c r="M10" s="47" t="n">
        <v>64.3</v>
      </c>
      <c r="N10" s="47" t="n">
        <v>30.864</v>
      </c>
      <c r="O10" s="47" t="n">
        <v>23.148</v>
      </c>
      <c r="P10" s="47" t="n">
        <v>20.576</v>
      </c>
      <c r="Q10" s="47" t="n">
        <v>18.004</v>
      </c>
      <c r="R10" s="47" t="n">
        <v>15.432</v>
      </c>
      <c r="S10" s="47" t="n">
        <v>20.576</v>
      </c>
      <c r="T10" s="47" t="n">
        <v>25.72</v>
      </c>
    </row>
    <row r="11" customFormat="false" ht="15" hidden="false" customHeight="false" outlineLevel="0" collapsed="false">
      <c r="A11" s="43"/>
      <c r="B11" s="46" t="s">
        <v>105</v>
      </c>
      <c r="C11" s="45" t="n">
        <v>12.86</v>
      </c>
      <c r="D11" s="45" t="n">
        <v>15.432</v>
      </c>
      <c r="E11" s="45" t="n">
        <v>18.004</v>
      </c>
      <c r="F11" s="45" t="n">
        <v>18.004</v>
      </c>
      <c r="G11" s="45" t="n">
        <v>18.004</v>
      </c>
      <c r="H11" s="45" t="n">
        <v>20.576</v>
      </c>
      <c r="I11" s="45" t="n">
        <v>33.436</v>
      </c>
      <c r="J11" s="45" t="n">
        <v>33.436</v>
      </c>
      <c r="K11" s="47" t="n">
        <v>36.008</v>
      </c>
      <c r="L11" s="47" t="n">
        <v>38.58</v>
      </c>
      <c r="M11" s="47" t="n">
        <v>33.436</v>
      </c>
      <c r="N11" s="47" t="n">
        <v>30.864</v>
      </c>
      <c r="O11" s="47" t="n">
        <v>23.148</v>
      </c>
      <c r="P11" s="47" t="n">
        <v>15.432</v>
      </c>
      <c r="Q11" s="47" t="n">
        <v>15.432</v>
      </c>
      <c r="R11" s="47" t="n">
        <v>15.432</v>
      </c>
      <c r="S11" s="47" t="n">
        <v>15.432</v>
      </c>
      <c r="T11" s="47" t="n">
        <v>12.86</v>
      </c>
      <c r="U11" s="47" t="n">
        <v>12.86</v>
      </c>
      <c r="V11" s="47" t="n">
        <v>12.86</v>
      </c>
      <c r="W11" s="47" t="n">
        <v>12.86</v>
      </c>
      <c r="X11" s="47" t="n">
        <v>12.86</v>
      </c>
    </row>
    <row r="12" customFormat="false" ht="15" hidden="false" customHeight="false" outlineLevel="0" collapsed="false">
      <c r="A12" s="43"/>
      <c r="B12" s="46" t="s">
        <v>23</v>
      </c>
      <c r="E12" s="45" t="n">
        <v>12.86</v>
      </c>
      <c r="F12" s="45" t="n">
        <v>12.86</v>
      </c>
      <c r="G12" s="45" t="n">
        <v>12.86</v>
      </c>
      <c r="H12" s="45" t="n">
        <v>12.86</v>
      </c>
      <c r="I12" s="45" t="n">
        <v>12.86</v>
      </c>
      <c r="J12" s="45" t="n">
        <v>12.86</v>
      </c>
      <c r="K12" s="45" t="n">
        <v>15.432</v>
      </c>
      <c r="L12" s="45" t="n">
        <v>15.432</v>
      </c>
      <c r="M12" s="47" t="n">
        <v>20.576</v>
      </c>
      <c r="N12" s="47" t="n">
        <v>23.148</v>
      </c>
      <c r="O12" s="47" t="n">
        <v>25.72</v>
      </c>
      <c r="P12" s="47" t="n">
        <v>28.292</v>
      </c>
      <c r="Q12" s="47" t="n">
        <v>33.436</v>
      </c>
      <c r="R12" s="47" t="n">
        <v>36.008</v>
      </c>
      <c r="S12" s="47" t="n">
        <v>38.58</v>
      </c>
      <c r="T12" s="47" t="n">
        <v>41.152</v>
      </c>
      <c r="U12" s="47" t="n">
        <v>43.724</v>
      </c>
      <c r="V12" s="47" t="n">
        <v>48.868</v>
      </c>
      <c r="W12" s="47" t="n">
        <v>51.44</v>
      </c>
      <c r="X12" s="47" t="n">
        <v>54.012</v>
      </c>
      <c r="Y12" s="47" t="n">
        <v>56.584</v>
      </c>
      <c r="Z12" s="47" t="n">
        <v>56.584</v>
      </c>
      <c r="AA12" s="47" t="n">
        <v>56.584</v>
      </c>
      <c r="AB12" s="47" t="n">
        <v>56.584</v>
      </c>
      <c r="AC12" s="47" t="n">
        <v>56.584</v>
      </c>
      <c r="AD12" s="47" t="n">
        <v>56.584</v>
      </c>
      <c r="AE12" s="47" t="n">
        <v>56.584</v>
      </c>
      <c r="AF12" s="47" t="n">
        <v>59.156</v>
      </c>
      <c r="AG12" s="47" t="n">
        <v>61.728</v>
      </c>
      <c r="AH12" s="47" t="n">
        <v>66.872</v>
      </c>
      <c r="AI12" s="47" t="n">
        <v>72.016</v>
      </c>
      <c r="AJ12" s="47" t="n">
        <v>77.16</v>
      </c>
      <c r="AK12" s="47" t="n">
        <v>74.588</v>
      </c>
      <c r="AL12" s="47" t="n">
        <v>64.3</v>
      </c>
      <c r="AM12" s="47" t="n">
        <v>51.44</v>
      </c>
      <c r="AN12" s="47" t="n">
        <v>41.152</v>
      </c>
      <c r="AO12" s="47" t="n">
        <v>30.864</v>
      </c>
      <c r="AP12" s="47" t="n">
        <v>23.148</v>
      </c>
      <c r="AQ12" s="47" t="n">
        <v>20.576</v>
      </c>
      <c r="AR12" s="47" t="n">
        <v>18.004</v>
      </c>
      <c r="AS12" s="47" t="n">
        <v>15.432</v>
      </c>
      <c r="AT12" s="47" t="n">
        <v>15.432</v>
      </c>
      <c r="AU12" s="47" t="n">
        <v>15.432</v>
      </c>
      <c r="AV12" s="47" t="n">
        <v>15.432</v>
      </c>
      <c r="AW12" s="47" t="n">
        <v>15.432</v>
      </c>
      <c r="AX12" s="47" t="n">
        <v>15.432</v>
      </c>
      <c r="AY12" s="47" t="n">
        <v>15.432</v>
      </c>
      <c r="AZ12" s="47" t="n">
        <v>15.432</v>
      </c>
      <c r="BA12" s="47" t="n">
        <v>15.432</v>
      </c>
      <c r="BB12" s="47" t="n">
        <v>15.432</v>
      </c>
      <c r="BC12" s="47" t="n">
        <v>15.432</v>
      </c>
    </row>
    <row r="13" customFormat="false" ht="15" hidden="false" customHeight="false" outlineLevel="0" collapsed="false">
      <c r="A13" s="43"/>
      <c r="B13" s="46" t="s">
        <v>108</v>
      </c>
      <c r="E13" s="45" t="n">
        <v>20.576</v>
      </c>
      <c r="F13" s="45" t="n">
        <v>30.864</v>
      </c>
      <c r="G13" s="45" t="n">
        <v>36.008</v>
      </c>
      <c r="H13" s="45" t="n">
        <v>33.436</v>
      </c>
      <c r="I13" s="45" t="n">
        <v>33.436</v>
      </c>
      <c r="J13" s="45" t="n">
        <v>33.436</v>
      </c>
      <c r="K13" s="45" t="n">
        <v>33.436</v>
      </c>
      <c r="L13" s="45" t="n">
        <v>15.432</v>
      </c>
      <c r="M13" s="47" t="n">
        <v>15.432</v>
      </c>
      <c r="N13" s="47" t="n">
        <v>12.86</v>
      </c>
      <c r="O13" s="47" t="n">
        <v>12.86</v>
      </c>
      <c r="P13" s="47" t="n">
        <v>12.86</v>
      </c>
      <c r="Q13" s="47" t="n">
        <v>12.86</v>
      </c>
      <c r="R13" s="47" t="n">
        <v>12.86</v>
      </c>
      <c r="S13" s="47" t="n">
        <v>12.86</v>
      </c>
    </row>
    <row r="14" customFormat="false" ht="15" hidden="false" customHeight="false" outlineLevel="0" collapsed="false">
      <c r="A14" s="43"/>
      <c r="B14" s="46" t="s">
        <v>25</v>
      </c>
      <c r="E14" s="45" t="n">
        <v>15.432</v>
      </c>
      <c r="F14" s="45" t="n">
        <v>15.432</v>
      </c>
      <c r="G14" s="45" t="n">
        <v>15.432</v>
      </c>
      <c r="H14" s="45" t="n">
        <v>15.432</v>
      </c>
      <c r="I14" s="45" t="n">
        <v>15.432</v>
      </c>
      <c r="J14" s="45" t="n">
        <v>15.432</v>
      </c>
      <c r="K14" s="45" t="n">
        <v>15.432</v>
      </c>
      <c r="L14" s="45" t="n">
        <v>15.432</v>
      </c>
      <c r="M14" s="47" t="n">
        <v>20.576</v>
      </c>
      <c r="N14" s="47" t="n">
        <v>23.148</v>
      </c>
      <c r="O14" s="47" t="n">
        <v>25.72</v>
      </c>
      <c r="P14" s="47" t="n">
        <v>28.292</v>
      </c>
      <c r="Q14" s="47" t="n">
        <v>30.864</v>
      </c>
      <c r="R14" s="47" t="n">
        <v>38.58</v>
      </c>
      <c r="S14" s="47" t="n">
        <v>41.152</v>
      </c>
      <c r="T14" s="47" t="n">
        <v>46.296</v>
      </c>
      <c r="U14" s="47" t="n">
        <v>51.44</v>
      </c>
      <c r="V14" s="47" t="n">
        <v>59.156</v>
      </c>
      <c r="W14" s="47" t="n">
        <v>61.728</v>
      </c>
      <c r="X14" s="47" t="n">
        <v>64.3</v>
      </c>
      <c r="Y14" s="47" t="n">
        <v>66.872</v>
      </c>
      <c r="Z14" s="47" t="n">
        <v>61.728</v>
      </c>
      <c r="AA14" s="47" t="n">
        <v>56.584</v>
      </c>
      <c r="AB14" s="47" t="n">
        <v>41.152</v>
      </c>
      <c r="AC14" s="47" t="n">
        <v>38.58</v>
      </c>
      <c r="AD14" s="47" t="n">
        <v>41.152</v>
      </c>
      <c r="AE14" s="47" t="n">
        <v>33.436</v>
      </c>
      <c r="AF14" s="47" t="n">
        <v>33.436</v>
      </c>
      <c r="AG14" s="47" t="n">
        <v>30.864</v>
      </c>
      <c r="AH14" s="47" t="n">
        <v>25.72</v>
      </c>
      <c r="AI14" s="47" t="n">
        <v>25.72</v>
      </c>
      <c r="AJ14" s="47" t="n">
        <v>25.72</v>
      </c>
      <c r="AK14" s="47" t="n">
        <v>25.72</v>
      </c>
      <c r="AL14" s="47" t="n">
        <v>25.72</v>
      </c>
      <c r="AM14" s="47" t="n">
        <v>28.292</v>
      </c>
      <c r="AN14" s="47" t="n">
        <v>30.864</v>
      </c>
      <c r="AO14" s="47" t="n">
        <v>38.58</v>
      </c>
      <c r="AP14" s="47" t="n">
        <v>46.296</v>
      </c>
      <c r="AQ14" s="47" t="n">
        <v>51.44</v>
      </c>
      <c r="AR14" s="47" t="n">
        <v>51.44</v>
      </c>
      <c r="AS14" s="47" t="n">
        <v>51.44</v>
      </c>
      <c r="AT14" s="47" t="n">
        <v>51.44</v>
      </c>
      <c r="AU14" s="47" t="n">
        <v>51.44</v>
      </c>
      <c r="AV14" s="47" t="n">
        <v>51.44</v>
      </c>
      <c r="AW14" s="47" t="n">
        <v>51.44</v>
      </c>
      <c r="AX14" s="47" t="n">
        <v>51.44</v>
      </c>
      <c r="AY14" s="47" t="n">
        <v>48.868</v>
      </c>
      <c r="AZ14" s="47" t="n">
        <v>46.296</v>
      </c>
      <c r="BA14" s="47" t="n">
        <v>43.724</v>
      </c>
      <c r="BB14" s="47" t="n">
        <v>43.724</v>
      </c>
      <c r="BC14" s="47" t="n">
        <v>46.296</v>
      </c>
      <c r="BD14" s="47" t="n">
        <v>48.868</v>
      </c>
      <c r="BE14" s="47" t="n">
        <v>48.868</v>
      </c>
      <c r="BF14" s="47" t="n">
        <v>51.44</v>
      </c>
      <c r="BG14" s="47" t="n">
        <v>54.012</v>
      </c>
      <c r="BH14" s="47" t="n">
        <v>56.584</v>
      </c>
      <c r="BI14" s="47" t="n">
        <v>64.3</v>
      </c>
      <c r="BJ14" s="47" t="n">
        <v>69.444</v>
      </c>
      <c r="BK14" s="47" t="n">
        <v>72.016</v>
      </c>
      <c r="BL14" s="47" t="n">
        <v>72.016</v>
      </c>
      <c r="BM14" s="47" t="n">
        <v>72.016</v>
      </c>
      <c r="BN14" s="47" t="n">
        <v>46.296</v>
      </c>
      <c r="BO14" s="47" t="n">
        <v>36.008</v>
      </c>
      <c r="BP14" s="47" t="n">
        <v>33.436</v>
      </c>
      <c r="BQ14" s="47" t="n">
        <v>23.148</v>
      </c>
      <c r="BR14" s="47" t="n">
        <v>18.004</v>
      </c>
      <c r="BS14" s="47" t="n">
        <v>18.004</v>
      </c>
      <c r="BT14" s="47" t="n">
        <v>18.004</v>
      </c>
      <c r="BU14" s="47" t="n">
        <v>15.432</v>
      </c>
      <c r="BV14" s="47" t="n">
        <v>15.432</v>
      </c>
    </row>
    <row r="15" customFormat="false" ht="15" hidden="false" customHeight="false" outlineLevel="0" collapsed="false">
      <c r="A15" s="43"/>
      <c r="B15" s="46" t="s">
        <v>27</v>
      </c>
      <c r="C15" s="45" t="n">
        <v>12.86</v>
      </c>
      <c r="D15" s="45" t="n">
        <v>12.86</v>
      </c>
      <c r="E15" s="45" t="n">
        <v>12.86</v>
      </c>
      <c r="F15" s="45" t="n">
        <v>15.432</v>
      </c>
      <c r="G15" s="45" t="n">
        <v>15.432</v>
      </c>
      <c r="H15" s="45" t="n">
        <v>15.432</v>
      </c>
      <c r="I15" s="45" t="n">
        <v>23.148</v>
      </c>
      <c r="J15" s="45" t="n">
        <v>30.864</v>
      </c>
      <c r="K15" s="47" t="n">
        <v>51.44</v>
      </c>
      <c r="L15" s="47" t="n">
        <v>46.296</v>
      </c>
      <c r="M15" s="47" t="n">
        <v>43.724</v>
      </c>
      <c r="N15" s="47" t="n">
        <v>43.724</v>
      </c>
      <c r="O15" s="47" t="n">
        <v>41.152</v>
      </c>
      <c r="P15" s="47" t="n">
        <v>38.58</v>
      </c>
      <c r="Q15" s="47" t="n">
        <v>46.296</v>
      </c>
      <c r="R15" s="47" t="n">
        <v>56.584</v>
      </c>
      <c r="S15" s="47" t="n">
        <v>36.008</v>
      </c>
      <c r="T15" s="47" t="n">
        <v>28.292</v>
      </c>
      <c r="U15" s="47" t="n">
        <v>25.72</v>
      </c>
      <c r="V15" s="47" t="n">
        <v>18.004</v>
      </c>
      <c r="W15" s="47" t="n">
        <v>15.432</v>
      </c>
      <c r="X15" s="47" t="n">
        <v>15.432</v>
      </c>
      <c r="Y15" s="47" t="n">
        <v>12.86</v>
      </c>
      <c r="Z15" s="47" t="n">
        <v>12.86</v>
      </c>
    </row>
    <row r="16" customFormat="false" ht="15" hidden="false" customHeight="false" outlineLevel="0" collapsed="false">
      <c r="A16" s="43"/>
      <c r="B16" s="46" t="s">
        <v>29</v>
      </c>
      <c r="G16" s="45" t="n">
        <v>12.86</v>
      </c>
      <c r="H16" s="45" t="n">
        <v>12.86</v>
      </c>
      <c r="I16" s="45" t="n">
        <v>15.432</v>
      </c>
      <c r="J16" s="45" t="n">
        <v>15.432</v>
      </c>
      <c r="K16" s="45" t="n">
        <v>15.432</v>
      </c>
      <c r="L16" s="45" t="n">
        <v>15.432</v>
      </c>
      <c r="M16" s="45" t="n">
        <v>18.004</v>
      </c>
      <c r="N16" s="45" t="n">
        <v>23.148</v>
      </c>
      <c r="O16" s="47" t="n">
        <v>28.292</v>
      </c>
      <c r="P16" s="47" t="n">
        <v>30.864</v>
      </c>
      <c r="Q16" s="47" t="n">
        <v>33.436</v>
      </c>
      <c r="R16" s="47" t="n">
        <v>36.008</v>
      </c>
      <c r="S16" s="47" t="n">
        <v>41.152</v>
      </c>
      <c r="T16" s="47" t="n">
        <v>48.868</v>
      </c>
      <c r="U16" s="47" t="n">
        <v>56.584</v>
      </c>
      <c r="V16" s="47" t="n">
        <v>59.156</v>
      </c>
      <c r="W16" s="47" t="n">
        <v>64.3</v>
      </c>
      <c r="X16" s="47" t="n">
        <v>66.872</v>
      </c>
      <c r="Y16" s="47" t="n">
        <v>72.016</v>
      </c>
      <c r="Z16" s="47" t="n">
        <v>74.588</v>
      </c>
      <c r="AA16" s="47" t="n">
        <v>79.732</v>
      </c>
      <c r="AB16" s="47" t="n">
        <v>77.16</v>
      </c>
      <c r="AC16" s="47" t="n">
        <v>72.016</v>
      </c>
      <c r="AD16" s="47" t="n">
        <v>59.156</v>
      </c>
      <c r="AE16" s="47" t="n">
        <v>59.156</v>
      </c>
      <c r="AF16" s="47" t="n">
        <v>64.3</v>
      </c>
      <c r="AG16" s="47" t="n">
        <v>69.444</v>
      </c>
      <c r="AH16" s="47" t="n">
        <v>74.588</v>
      </c>
      <c r="AI16" s="47" t="n">
        <v>79.732</v>
      </c>
      <c r="AJ16" s="47" t="n">
        <v>84.876</v>
      </c>
      <c r="AK16" s="47" t="n">
        <v>79.732</v>
      </c>
      <c r="AL16" s="47" t="n">
        <v>66.872</v>
      </c>
      <c r="AM16" s="47" t="n">
        <v>59.156</v>
      </c>
      <c r="AN16" s="47" t="n">
        <v>66.872</v>
      </c>
      <c r="AO16" s="47" t="n">
        <v>74.588</v>
      </c>
      <c r="AP16" s="47" t="n">
        <v>79.732</v>
      </c>
      <c r="AQ16" s="47" t="n">
        <v>72.016</v>
      </c>
      <c r="AR16" s="47" t="n">
        <v>64.3</v>
      </c>
      <c r="AS16" s="47" t="n">
        <v>56.584</v>
      </c>
      <c r="AT16" s="47" t="n">
        <v>51.44</v>
      </c>
      <c r="AU16" s="47" t="n">
        <v>43.724</v>
      </c>
      <c r="AV16" s="47" t="n">
        <v>36.008</v>
      </c>
      <c r="AW16" s="47" t="n">
        <v>30.864</v>
      </c>
      <c r="AX16" s="47" t="n">
        <v>23.148</v>
      </c>
      <c r="AY16" s="47" t="n">
        <v>15.432</v>
      </c>
      <c r="AZ16" s="47" t="n">
        <v>15.432</v>
      </c>
    </row>
    <row r="17" customFormat="false" ht="15" hidden="false" customHeight="false" outlineLevel="0" collapsed="false">
      <c r="A17" s="43"/>
      <c r="B17" s="48" t="s">
        <v>113</v>
      </c>
      <c r="E17" s="45" t="n">
        <v>15.432</v>
      </c>
      <c r="F17" s="45" t="n">
        <v>20.576</v>
      </c>
      <c r="G17" s="45" t="n">
        <v>23.148</v>
      </c>
      <c r="H17" s="45" t="n">
        <v>25.72</v>
      </c>
      <c r="I17" s="45" t="n">
        <v>28.292</v>
      </c>
      <c r="J17" s="45" t="n">
        <v>30.864</v>
      </c>
      <c r="K17" s="45" t="n">
        <v>33.436</v>
      </c>
      <c r="L17" s="45" t="n">
        <v>36.008</v>
      </c>
      <c r="M17" s="47" t="n">
        <v>38.58</v>
      </c>
      <c r="N17" s="47" t="n">
        <v>46.296</v>
      </c>
      <c r="O17" s="47" t="n">
        <v>48.868</v>
      </c>
      <c r="P17" s="47" t="n">
        <v>51.44</v>
      </c>
      <c r="Q17" s="47" t="n">
        <v>51.44</v>
      </c>
      <c r="R17" s="47" t="n">
        <v>41.152</v>
      </c>
      <c r="S17" s="47" t="n">
        <v>20.576</v>
      </c>
      <c r="T17" s="47" t="n">
        <v>18.004</v>
      </c>
      <c r="U17" s="47" t="n">
        <v>15.432</v>
      </c>
      <c r="V17" s="47" t="n">
        <v>12.86</v>
      </c>
      <c r="W17" s="47" t="n">
        <v>12.86</v>
      </c>
      <c r="X17" s="47" t="n">
        <v>10.288</v>
      </c>
      <c r="Y17" s="47" t="n">
        <v>10.288</v>
      </c>
      <c r="Z17" s="47" t="n">
        <v>10.288</v>
      </c>
      <c r="AA17" s="47" t="n">
        <v>10.288</v>
      </c>
      <c r="AB17" s="47" t="n">
        <v>10.288</v>
      </c>
      <c r="AC17" s="47" t="n">
        <v>10.288</v>
      </c>
    </row>
    <row r="18" customFormat="false" ht="15" hidden="false" customHeight="false" outlineLevel="0" collapsed="false">
      <c r="A18" s="43"/>
      <c r="B18" s="48" t="s">
        <v>115</v>
      </c>
      <c r="F18" s="45" t="n">
        <v>12.86</v>
      </c>
      <c r="G18" s="45" t="n">
        <v>12.86</v>
      </c>
      <c r="H18" s="45" t="n">
        <v>12.86</v>
      </c>
      <c r="I18" s="45" t="n">
        <v>15.432</v>
      </c>
      <c r="J18" s="45" t="n">
        <v>20.576</v>
      </c>
      <c r="K18" s="45" t="n">
        <v>23.148</v>
      </c>
      <c r="L18" s="45" t="n">
        <v>25.72</v>
      </c>
      <c r="M18" s="45" t="n">
        <v>28.292</v>
      </c>
      <c r="N18" s="47" t="n">
        <v>33.436</v>
      </c>
      <c r="O18" s="47" t="n">
        <v>36.008</v>
      </c>
      <c r="P18" s="47" t="n">
        <v>38.58</v>
      </c>
      <c r="Q18" s="47" t="n">
        <v>38.58</v>
      </c>
      <c r="R18" s="47" t="n">
        <v>33.436</v>
      </c>
      <c r="S18" s="47" t="n">
        <v>18.004</v>
      </c>
      <c r="T18" s="47" t="n">
        <v>15.432</v>
      </c>
      <c r="U18" s="47" t="n">
        <v>12.86</v>
      </c>
      <c r="V18" s="47" t="n">
        <v>10.288</v>
      </c>
      <c r="W18" s="47" t="n">
        <v>10.288</v>
      </c>
      <c r="X18" s="47" t="n">
        <v>7.716</v>
      </c>
      <c r="Y18" s="47" t="n">
        <v>5.144</v>
      </c>
      <c r="Z18" s="47" t="n">
        <v>5.144</v>
      </c>
    </row>
    <row r="19" customFormat="false" ht="15" hidden="false" customHeight="false" outlineLevel="0" collapsed="false">
      <c r="A19" s="43"/>
      <c r="B19" s="48" t="s">
        <v>117</v>
      </c>
      <c r="C19" s="45"/>
      <c r="D19" s="45"/>
      <c r="E19" s="45" t="n">
        <v>10.288</v>
      </c>
      <c r="F19" s="45" t="n">
        <v>12.86</v>
      </c>
      <c r="G19" s="45" t="n">
        <v>15.432</v>
      </c>
      <c r="H19" s="45" t="n">
        <v>18.004</v>
      </c>
      <c r="I19" s="45" t="n">
        <v>25.72</v>
      </c>
      <c r="J19" s="45" t="n">
        <v>28.292</v>
      </c>
      <c r="K19" s="47" t="n">
        <v>33.436</v>
      </c>
      <c r="L19" s="47" t="n">
        <v>36.008</v>
      </c>
      <c r="M19" s="47" t="n">
        <v>36.008</v>
      </c>
      <c r="N19" s="47" t="n">
        <v>36.008</v>
      </c>
      <c r="O19" s="47" t="n">
        <v>25.72</v>
      </c>
      <c r="P19" s="47" t="n">
        <v>18.004</v>
      </c>
      <c r="Q19" s="47" t="n">
        <v>12.86</v>
      </c>
      <c r="R19" s="47" t="n">
        <v>10.288</v>
      </c>
      <c r="S19" s="47" t="n">
        <v>10.288</v>
      </c>
      <c r="T19" s="47" t="n">
        <v>10.288</v>
      </c>
    </row>
    <row r="20" customFormat="false" ht="15" hidden="false" customHeight="false" outlineLevel="0" collapsed="false">
      <c r="A20" s="43"/>
      <c r="B20" s="48" t="s">
        <v>119</v>
      </c>
      <c r="C20" s="45"/>
      <c r="D20" s="45"/>
      <c r="E20" s="45" t="n">
        <v>12.86</v>
      </c>
      <c r="F20" s="45" t="n">
        <v>15.432</v>
      </c>
      <c r="G20" s="45" t="n">
        <v>18.004</v>
      </c>
      <c r="H20" s="45" t="n">
        <v>20.576</v>
      </c>
      <c r="I20" s="45" t="n">
        <v>23.148</v>
      </c>
      <c r="J20" s="45" t="n">
        <v>25.72</v>
      </c>
      <c r="K20" s="47" t="n">
        <v>28.292</v>
      </c>
      <c r="L20" s="47" t="n">
        <v>28.292</v>
      </c>
      <c r="M20" s="47" t="n">
        <v>28.292</v>
      </c>
      <c r="N20" s="47" t="n">
        <v>28.292</v>
      </c>
      <c r="O20" s="47" t="n">
        <v>28.292</v>
      </c>
      <c r="P20" s="47" t="n">
        <v>28.292</v>
      </c>
      <c r="Q20" s="47" t="n">
        <v>30.864</v>
      </c>
      <c r="R20" s="47" t="n">
        <v>33.436</v>
      </c>
      <c r="S20" s="47" t="n">
        <v>36.008</v>
      </c>
      <c r="T20" s="47" t="n">
        <v>38.58</v>
      </c>
      <c r="U20" s="47" t="n">
        <v>38.58</v>
      </c>
      <c r="V20" s="47" t="n">
        <v>18.004</v>
      </c>
      <c r="W20" s="47" t="n">
        <v>10.288</v>
      </c>
      <c r="X20" s="47" t="n">
        <v>7.716</v>
      </c>
    </row>
    <row r="21" customFormat="false" ht="15" hidden="false" customHeight="false" outlineLevel="0" collapsed="false">
      <c r="A21" s="43"/>
      <c r="B21" s="48" t="s">
        <v>31</v>
      </c>
      <c r="F21" s="45" t="n">
        <v>10.288</v>
      </c>
      <c r="G21" s="45" t="n">
        <v>12.86</v>
      </c>
      <c r="H21" s="45" t="n">
        <v>15.432</v>
      </c>
      <c r="I21" s="45" t="n">
        <v>18.004</v>
      </c>
      <c r="J21" s="45" t="n">
        <v>25.72</v>
      </c>
      <c r="K21" s="45" t="n">
        <v>28.292</v>
      </c>
      <c r="L21" s="45" t="n">
        <v>33.436</v>
      </c>
      <c r="M21" s="45" t="n">
        <v>36.008</v>
      </c>
      <c r="N21" s="47" t="n">
        <v>36.008</v>
      </c>
      <c r="O21" s="47" t="n">
        <v>36.008</v>
      </c>
      <c r="P21" s="47" t="n">
        <v>25.72</v>
      </c>
      <c r="Q21" s="47" t="n">
        <v>18.004</v>
      </c>
      <c r="R21" s="47" t="n">
        <v>12.86</v>
      </c>
      <c r="S21" s="47" t="n">
        <v>10.288</v>
      </c>
      <c r="T21" s="47" t="n">
        <v>10.288</v>
      </c>
      <c r="U21" s="47" t="n">
        <v>10.288</v>
      </c>
    </row>
    <row r="22" customFormat="false" ht="15" hidden="false" customHeight="false" outlineLevel="0" collapsed="false">
      <c r="A22" s="43"/>
      <c r="B22" s="48" t="s">
        <v>48</v>
      </c>
      <c r="C22" s="45" t="n">
        <v>12.86</v>
      </c>
      <c r="D22" s="45" t="n">
        <v>15.432</v>
      </c>
      <c r="E22" s="45" t="n">
        <v>15.432</v>
      </c>
      <c r="F22" s="45" t="n">
        <v>18.004</v>
      </c>
      <c r="G22" s="45" t="n">
        <v>18.004</v>
      </c>
      <c r="H22" s="45" t="n">
        <v>20.576</v>
      </c>
      <c r="I22" s="45" t="n">
        <v>20.576</v>
      </c>
      <c r="J22" s="45" t="n">
        <v>23.148</v>
      </c>
      <c r="K22" s="47" t="n">
        <v>25.72</v>
      </c>
      <c r="L22" s="47" t="n">
        <v>30.864</v>
      </c>
      <c r="M22" s="47" t="n">
        <v>28.292</v>
      </c>
      <c r="N22" s="47" t="n">
        <v>28.292</v>
      </c>
      <c r="O22" s="47" t="n">
        <v>28.292</v>
      </c>
      <c r="P22" s="47" t="n">
        <v>28.292</v>
      </c>
      <c r="Q22" s="47" t="n">
        <v>36.008</v>
      </c>
      <c r="R22" s="47" t="n">
        <v>28.292</v>
      </c>
      <c r="S22" s="47" t="n">
        <v>25.72</v>
      </c>
      <c r="T22" s="47" t="n">
        <v>25.72</v>
      </c>
      <c r="U22" s="47" t="n">
        <v>25.72</v>
      </c>
      <c r="V22" s="47" t="n">
        <v>25.72</v>
      </c>
      <c r="W22" s="47" t="n">
        <v>23.148</v>
      </c>
      <c r="X22" s="47" t="n">
        <v>23.148</v>
      </c>
      <c r="Y22" s="47" t="n">
        <v>23.148</v>
      </c>
      <c r="Z22" s="47" t="n">
        <v>23.148</v>
      </c>
      <c r="AA22" s="47" t="n">
        <v>23.148</v>
      </c>
      <c r="AB22" s="47" t="n">
        <v>23.148</v>
      </c>
      <c r="AC22" s="47" t="n">
        <v>23.148</v>
      </c>
      <c r="AD22" s="47" t="n">
        <v>25.72</v>
      </c>
      <c r="AE22" s="47" t="n">
        <v>25.72</v>
      </c>
      <c r="AF22" s="47" t="n">
        <v>28.292</v>
      </c>
      <c r="AG22" s="47" t="n">
        <v>28.292</v>
      </c>
      <c r="AH22" s="47" t="n">
        <v>28.292</v>
      </c>
      <c r="AI22" s="47" t="n">
        <v>30.864</v>
      </c>
      <c r="AJ22" s="47" t="n">
        <v>30.864</v>
      </c>
      <c r="AK22" s="47" t="n">
        <v>33.436</v>
      </c>
      <c r="AL22" s="47" t="n">
        <v>38.58</v>
      </c>
      <c r="AM22" s="47" t="n">
        <v>41.152</v>
      </c>
      <c r="AN22" s="47" t="n">
        <v>36.008</v>
      </c>
      <c r="AO22" s="47" t="n">
        <v>25.72</v>
      </c>
      <c r="AP22" s="47" t="n">
        <v>20.576</v>
      </c>
      <c r="AQ22" s="47" t="n">
        <v>18.004</v>
      </c>
      <c r="AR22" s="47" t="n">
        <v>18.004</v>
      </c>
      <c r="AS22" s="47" t="n">
        <v>15.432</v>
      </c>
      <c r="AT22" s="47" t="n">
        <v>12.86</v>
      </c>
      <c r="AU22" s="47" t="n">
        <v>12.86</v>
      </c>
    </row>
    <row r="23" customFormat="false" ht="15" hidden="false" customHeight="false" outlineLevel="0" collapsed="false">
      <c r="A23" s="43"/>
      <c r="B23" s="48" t="s">
        <v>43</v>
      </c>
      <c r="C23" s="45" t="n">
        <v>12.86</v>
      </c>
      <c r="D23" s="45" t="n">
        <v>12.86</v>
      </c>
      <c r="E23" s="45" t="n">
        <v>15.432</v>
      </c>
      <c r="F23" s="45" t="n">
        <v>18.004</v>
      </c>
      <c r="G23" s="45" t="n">
        <v>23.148</v>
      </c>
      <c r="H23" s="45" t="n">
        <v>25.72</v>
      </c>
      <c r="I23" s="45" t="n">
        <v>28.292</v>
      </c>
      <c r="J23" s="45" t="n">
        <v>30.864</v>
      </c>
      <c r="K23" s="47" t="n">
        <v>30.864</v>
      </c>
      <c r="L23" s="47" t="n">
        <v>30.864</v>
      </c>
      <c r="M23" s="47" t="n">
        <v>36.008</v>
      </c>
      <c r="N23" s="47" t="n">
        <v>43.724</v>
      </c>
      <c r="O23" s="47" t="n">
        <v>48.868</v>
      </c>
      <c r="P23" s="47" t="n">
        <v>56.584</v>
      </c>
      <c r="Q23" s="47" t="n">
        <v>61.728</v>
      </c>
      <c r="R23" s="47" t="n">
        <v>74.588</v>
      </c>
      <c r="S23" s="47" t="n">
        <v>77.16</v>
      </c>
      <c r="T23" s="47" t="n">
        <v>79.732</v>
      </c>
      <c r="U23" s="47" t="n">
        <v>79.732</v>
      </c>
      <c r="V23" s="47" t="n">
        <v>72.016</v>
      </c>
      <c r="W23" s="47" t="n">
        <v>64.3</v>
      </c>
      <c r="X23" s="47" t="n">
        <v>61.728</v>
      </c>
      <c r="Y23" s="47" t="n">
        <v>59.156</v>
      </c>
      <c r="Z23" s="47" t="n">
        <v>59.156</v>
      </c>
      <c r="AA23" s="47" t="n">
        <v>56.584</v>
      </c>
      <c r="AB23" s="47" t="n">
        <v>54.012</v>
      </c>
      <c r="AC23" s="47" t="n">
        <v>51.44</v>
      </c>
      <c r="AD23" s="47" t="n">
        <v>51.44</v>
      </c>
      <c r="AE23" s="47" t="n">
        <v>33.436</v>
      </c>
      <c r="AF23" s="47" t="n">
        <v>23.148</v>
      </c>
      <c r="AG23" s="47" t="n">
        <v>18.004</v>
      </c>
      <c r="AH23" s="47" t="n">
        <v>15.432</v>
      </c>
      <c r="AI23" s="47" t="n">
        <v>12.86</v>
      </c>
      <c r="AJ23" s="47" t="n">
        <v>12.86</v>
      </c>
      <c r="AK23" s="47" t="n">
        <v>10.288</v>
      </c>
      <c r="AL23" s="47" t="n">
        <v>10.288</v>
      </c>
    </row>
    <row r="24" customFormat="false" ht="15" hidden="false" customHeight="false" outlineLevel="0" collapsed="false">
      <c r="A24" s="43"/>
      <c r="B24" s="48" t="s">
        <v>50</v>
      </c>
      <c r="C24" s="45" t="n">
        <v>12.86</v>
      </c>
      <c r="D24" s="45" t="n">
        <v>18.004</v>
      </c>
      <c r="E24" s="45" t="n">
        <v>23.148</v>
      </c>
      <c r="F24" s="45" t="n">
        <v>28.292</v>
      </c>
      <c r="G24" s="45" t="n">
        <v>41.152</v>
      </c>
      <c r="H24" s="45" t="n">
        <v>41.152</v>
      </c>
      <c r="I24" s="45" t="n">
        <v>33.436</v>
      </c>
      <c r="J24" s="45" t="n">
        <v>18.004</v>
      </c>
      <c r="K24" s="47" t="n">
        <v>12.86</v>
      </c>
      <c r="L24" s="47" t="n">
        <v>10.288</v>
      </c>
      <c r="M24" s="47" t="n">
        <v>10.288</v>
      </c>
    </row>
    <row r="25" customFormat="false" ht="15" hidden="false" customHeight="false" outlineLevel="0" collapsed="false">
      <c r="A25" s="43"/>
      <c r="B25" s="48" t="s">
        <v>52</v>
      </c>
      <c r="E25" s="45" t="n">
        <v>20.576</v>
      </c>
      <c r="F25" s="45" t="n">
        <v>20.576</v>
      </c>
      <c r="G25" s="45" t="n">
        <v>23.148</v>
      </c>
      <c r="H25" s="45" t="n">
        <v>23.148</v>
      </c>
      <c r="I25" s="45" t="n">
        <v>23.148</v>
      </c>
      <c r="J25" s="45" t="n">
        <v>23.148</v>
      </c>
      <c r="K25" s="45" t="n">
        <v>23.148</v>
      </c>
      <c r="L25" s="45" t="n">
        <v>23.148</v>
      </c>
      <c r="M25" s="47" t="n">
        <v>23.148</v>
      </c>
      <c r="N25" s="47" t="n">
        <v>28.292</v>
      </c>
      <c r="O25" s="47" t="n">
        <v>30.864</v>
      </c>
      <c r="P25" s="47" t="n">
        <v>33.436</v>
      </c>
      <c r="Q25" s="47" t="n">
        <v>36.008</v>
      </c>
      <c r="R25" s="47" t="n">
        <v>43.724</v>
      </c>
      <c r="S25" s="47" t="n">
        <v>43.724</v>
      </c>
      <c r="T25" s="47" t="n">
        <v>38.58</v>
      </c>
      <c r="U25" s="47" t="n">
        <v>38.58</v>
      </c>
      <c r="V25" s="47" t="n">
        <v>36.008</v>
      </c>
      <c r="W25" s="47" t="n">
        <v>33.436</v>
      </c>
      <c r="X25" s="47" t="n">
        <v>28.292</v>
      </c>
      <c r="Y25" s="47" t="n">
        <v>23.148</v>
      </c>
      <c r="Z25" s="47" t="n">
        <v>18.004</v>
      </c>
      <c r="AA25" s="47" t="n">
        <v>10.288</v>
      </c>
      <c r="AB25" s="47" t="n">
        <v>12.86</v>
      </c>
      <c r="AC25" s="47" t="n">
        <v>12.86</v>
      </c>
      <c r="AD25" s="47" t="n">
        <v>12.86</v>
      </c>
      <c r="AE25" s="47" t="n">
        <v>10.288</v>
      </c>
      <c r="AF25" s="47" t="n">
        <v>10.288</v>
      </c>
      <c r="AG25" s="47" t="n">
        <v>10.288</v>
      </c>
      <c r="AH25" s="47" t="n">
        <v>10.288</v>
      </c>
      <c r="AI25" s="47" t="n">
        <v>10.288</v>
      </c>
    </row>
    <row r="26" customFormat="false" ht="15" hidden="false" customHeight="false" outlineLevel="0" collapsed="false">
      <c r="A26" s="43"/>
      <c r="B26" s="49" t="s">
        <v>54</v>
      </c>
      <c r="C26" s="50"/>
      <c r="D26" s="51" t="n">
        <v>15.432</v>
      </c>
      <c r="E26" s="51" t="n">
        <v>18.004</v>
      </c>
      <c r="F26" s="51" t="n">
        <v>23.148</v>
      </c>
      <c r="G26" s="51" t="n">
        <v>23.148</v>
      </c>
      <c r="H26" s="51" t="n">
        <v>23.148</v>
      </c>
      <c r="I26" s="51" t="n">
        <v>25.72</v>
      </c>
      <c r="J26" s="51" t="n">
        <v>28.292</v>
      </c>
      <c r="K26" s="51" t="n">
        <v>28.292</v>
      </c>
      <c r="L26" s="52" t="n">
        <v>28.292</v>
      </c>
      <c r="M26" s="52" t="n">
        <v>30.864</v>
      </c>
      <c r="N26" s="52" t="n">
        <v>38.58</v>
      </c>
      <c r="O26" s="52" t="n">
        <v>54.012</v>
      </c>
      <c r="P26" s="52" t="n">
        <v>64.3</v>
      </c>
      <c r="Q26" s="52" t="n">
        <v>61.728</v>
      </c>
      <c r="R26" s="52" t="n">
        <v>59.156</v>
      </c>
      <c r="S26" s="52" t="n">
        <v>59.156</v>
      </c>
      <c r="T26" s="52" t="n">
        <v>59.156</v>
      </c>
      <c r="U26" s="52" t="n">
        <v>54.012</v>
      </c>
      <c r="V26" s="52" t="n">
        <v>51.44</v>
      </c>
      <c r="W26" s="52" t="n">
        <v>51.44</v>
      </c>
      <c r="X26" s="52" t="n">
        <v>51.44</v>
      </c>
      <c r="Y26" s="52" t="n">
        <v>48.868</v>
      </c>
      <c r="Z26" s="52" t="n">
        <v>59.156</v>
      </c>
      <c r="AA26" s="52" t="n">
        <v>59.156</v>
      </c>
      <c r="AB26" s="52" t="n">
        <v>59.156</v>
      </c>
      <c r="AC26" s="52" t="n">
        <v>56.584</v>
      </c>
      <c r="AD26" s="52" t="n">
        <v>56.584</v>
      </c>
      <c r="AE26" s="52" t="n">
        <v>54.012</v>
      </c>
      <c r="AF26" s="52" t="n">
        <v>59.156</v>
      </c>
      <c r="AG26" s="52" t="n">
        <v>59.156</v>
      </c>
      <c r="AH26" s="52" t="n">
        <v>51.44</v>
      </c>
      <c r="AI26" s="52" t="n">
        <v>43.724</v>
      </c>
      <c r="AJ26" s="52" t="n">
        <v>38.58</v>
      </c>
      <c r="AK26" s="52" t="n">
        <v>36.008</v>
      </c>
      <c r="AL26" s="52" t="n">
        <v>36.008</v>
      </c>
      <c r="AM26" s="52" t="n">
        <v>36.008</v>
      </c>
      <c r="AN26" s="52" t="n">
        <v>36.008</v>
      </c>
      <c r="AO26" s="52" t="n">
        <v>33.436</v>
      </c>
      <c r="AP26" s="52" t="n">
        <v>33.436</v>
      </c>
      <c r="AQ26" s="52" t="n">
        <v>36.008</v>
      </c>
      <c r="AR26" s="52" t="n">
        <v>41.152</v>
      </c>
      <c r="AS26" s="52" t="n">
        <v>43.724</v>
      </c>
      <c r="AT26" s="52" t="n">
        <v>43.724</v>
      </c>
      <c r="AU26" s="52" t="n">
        <v>43.724</v>
      </c>
      <c r="AV26" s="52" t="n">
        <v>43.724</v>
      </c>
      <c r="AW26" s="52" t="n">
        <v>43.724</v>
      </c>
      <c r="AX26" s="52" t="n">
        <v>43.724</v>
      </c>
      <c r="AY26" s="52" t="n">
        <v>46.296</v>
      </c>
      <c r="AZ26" s="52" t="n">
        <v>48.868</v>
      </c>
      <c r="BA26" s="52" t="n">
        <v>48.868</v>
      </c>
      <c r="BB26" s="52" t="n">
        <v>48.868</v>
      </c>
      <c r="BC26" s="52" t="n">
        <v>48.868</v>
      </c>
      <c r="BD26" s="52" t="n">
        <v>48.868</v>
      </c>
      <c r="BE26" s="52" t="n">
        <v>43.724</v>
      </c>
      <c r="BF26" s="52" t="n">
        <v>25.72</v>
      </c>
      <c r="BG26" s="52" t="n">
        <v>18.004</v>
      </c>
      <c r="BH26" s="52" t="n">
        <v>18.004</v>
      </c>
      <c r="BI26" s="52" t="n">
        <v>20.576</v>
      </c>
      <c r="BJ26" s="52" t="n">
        <v>25.72</v>
      </c>
      <c r="BK26" s="52" t="n">
        <v>25.72</v>
      </c>
      <c r="BL26" s="52" t="n">
        <v>20.576</v>
      </c>
      <c r="BM26" s="52" t="n">
        <v>18.004</v>
      </c>
      <c r="BN26" s="52"/>
      <c r="BO26" s="52"/>
      <c r="BP26" s="52"/>
      <c r="BQ26" s="52"/>
      <c r="BR26" s="52"/>
      <c r="BS26" s="52"/>
      <c r="BT26" s="52"/>
      <c r="BU26" s="52"/>
      <c r="BV26" s="52"/>
    </row>
    <row r="27" customFormat="false" ht="47.25" hidden="false" customHeight="false" outlineLevel="0" collapsed="false">
      <c r="A27" s="43"/>
      <c r="B27" s="53" t="s">
        <v>165</v>
      </c>
      <c r="C27" s="54" t="n">
        <f aca="false">AVERAGE(C7,C11,C15,C22:C24)</f>
        <v>14.146</v>
      </c>
      <c r="D27" s="54" t="n">
        <f aca="false">AVERAGE(D7,D10,D11,D15,D26,D22:D24)</f>
        <v>18.004</v>
      </c>
      <c r="E27" s="54" t="n">
        <f aca="false">AVERAGE(E3:E5,E7,E10:E15,E17,E19:E20,E22:E26)</f>
        <v>18.004</v>
      </c>
      <c r="F27" s="54" t="n">
        <f aca="false">AVERAGE(F2:F15,F17:F26)</f>
        <v>19.0756666666667</v>
      </c>
      <c r="G27" s="54" t="n">
        <f aca="false">AVERAGE(G2:G26)</f>
        <v>20.78176</v>
      </c>
      <c r="H27" s="54" t="n">
        <f aca="false">AVERAGE(H2:H26)</f>
        <v>22.32496</v>
      </c>
      <c r="I27" s="54" t="n">
        <f aca="false">AVERAGE(I2:I26)</f>
        <v>24.79408</v>
      </c>
      <c r="J27" s="54" t="n">
        <f aca="false">AVERAGE(J2:J26)</f>
        <v>26.33728</v>
      </c>
      <c r="K27" s="54" t="n">
        <f aca="false">AVERAGE(K2:K26)</f>
        <v>28.49776</v>
      </c>
      <c r="L27" s="54" t="n">
        <f aca="false">AVERAGE(L2:L26)</f>
        <v>28.90928</v>
      </c>
      <c r="M27" s="54" t="n">
        <f aca="false">AVERAGE(M2:M26)</f>
        <v>29.8352</v>
      </c>
      <c r="N27" s="54" t="n">
        <f aca="false">AVERAGE(N2:N23,N25:N26)</f>
        <v>31.7586086956522</v>
      </c>
      <c r="O27" s="54" t="n">
        <f aca="false">AVERAGE(O2:O23,O25:O26)</f>
        <v>31.8704347826087</v>
      </c>
      <c r="P27" s="54" t="n">
        <f aca="false">AVERAGE(P2:P23,P25:P26)</f>
        <v>31.5349565217391</v>
      </c>
      <c r="Q27" s="54" t="n">
        <f aca="false">AVERAGE(Q2:Q23,Q25:Q26)</f>
        <v>32.2059130434783</v>
      </c>
      <c r="R27" s="54" t="n">
        <f aca="false">AVERAGE(R2:R23,R25:R26)</f>
        <v>32.4295652173913</v>
      </c>
      <c r="S27" s="54" t="n">
        <f aca="false">AVERAGE(S2:S23,S25:S26)</f>
        <v>30.3048695652174</v>
      </c>
      <c r="T27" s="54" t="n">
        <f aca="false">AVERAGE(T2:T12,T25:T26,T14:T23)</f>
        <v>31.3316363636364</v>
      </c>
      <c r="U27" s="54" t="n">
        <f aca="false">AVERAGE(U2:U9,U11:U12,U14:U18,U20:U23,U25:U26)</f>
        <v>32.6644</v>
      </c>
      <c r="V27" s="54" t="n">
        <f aca="false">AVERAGE(V2:V9,V11:V12,V14:V18,V20,V22:V23,V25:V26)</f>
        <v>32.0823157894737</v>
      </c>
      <c r="W27" s="54" t="n">
        <f aca="false">AVERAGE(W2:W26)</f>
        <v>32.15</v>
      </c>
      <c r="X27" s="54" t="n">
        <f aca="false">AVERAGE(X2:X26)</f>
        <v>30.7211111111111</v>
      </c>
      <c r="Y27" s="54" t="n">
        <f aca="false">AVERAGE(Y2:Y26)</f>
        <v>33.436</v>
      </c>
      <c r="Z27" s="54" t="n">
        <f aca="false">AVERAGE(Z2:Z5,Z8:Z9,Z12,Z14:Z18,Z22:Z23,Z25:Z26)</f>
        <v>35.8365333333333</v>
      </c>
      <c r="AA27" s="54" t="n">
        <f aca="false">AVERAGE(AA2:AA26)</f>
        <v>39.9649230769231</v>
      </c>
      <c r="AB27" s="54" t="n">
        <f aca="false">AVERAGE(AB2:AB26)</f>
        <v>39.3713846153846</v>
      </c>
      <c r="AC27" s="54" t="n">
        <f aca="false">AVERAGE(AC2:AC26)</f>
        <v>39.1735384615385</v>
      </c>
      <c r="AD27" s="54" t="n">
        <f aca="false">AVERAGE(AD2:AD26)</f>
        <v>41.795</v>
      </c>
      <c r="AE27" s="54" t="n">
        <f aca="false">AVERAGE(AE2:AE26)</f>
        <v>42.3210909090909</v>
      </c>
      <c r="AF27" s="54" t="n">
        <f aca="false">AVERAGE(AF2:AF26)</f>
        <v>41.6196363636364</v>
      </c>
      <c r="AG27" s="54" t="n">
        <f aca="false">AVERAGE(AG2:AG26)</f>
        <v>40.4505454545455</v>
      </c>
      <c r="AH27" s="54" t="n">
        <f aca="false">AVERAGE(AH2:AH26)</f>
        <v>37.4109090909091</v>
      </c>
      <c r="AI27" s="54" t="n">
        <f aca="false">AVERAGE(AI2:AI26)</f>
        <v>35.7741818181818</v>
      </c>
      <c r="AJ27" s="54" t="n">
        <f aca="false">AVERAGE(AJ2:AJ26)</f>
        <v>35.4936</v>
      </c>
      <c r="AK27" s="54" t="n">
        <f aca="false">AVERAGE(AK2:AK26)</f>
        <v>33.436</v>
      </c>
      <c r="AL27" s="54" t="n">
        <f aca="false">AVERAGE(AL2:AL26)</f>
        <v>31.1212</v>
      </c>
      <c r="AM27" s="54" t="n">
        <f aca="false">AVERAGE(AM2:AM26)</f>
        <v>31.7213333333333</v>
      </c>
      <c r="AN27" s="54" t="n">
        <f aca="false">AVERAGE(AN2:AN26)</f>
        <v>30.864</v>
      </c>
      <c r="AO27" s="54" t="n">
        <f aca="false">AVERAGE(AO2:AO26)</f>
        <v>29.4351111111111</v>
      </c>
      <c r="AP27" s="54" t="n">
        <f aca="false">AVERAGE(AP2:AP26)</f>
        <v>29.1493333333333</v>
      </c>
      <c r="AQ27" s="54" t="n">
        <f aca="false">AVERAGE(AQ2:AQ26)</f>
        <v>31.1497777777778</v>
      </c>
      <c r="AR27" s="54" t="n">
        <f aca="false">AVERAGE(AR2:AR26)</f>
        <v>32.793</v>
      </c>
      <c r="AS27" s="54" t="n">
        <f aca="false">AVERAGE(AS2:AS26)</f>
        <v>30.4965714285714</v>
      </c>
      <c r="AT27" s="54" t="n">
        <f aca="false">AVERAGE(AT2:AT26)</f>
        <v>29.0268571428571</v>
      </c>
      <c r="AU27" s="54" t="n">
        <f aca="false">AVERAGE(AU2:AU26)</f>
        <v>30.0066666666667</v>
      </c>
      <c r="AV27" s="54" t="n">
        <f aca="false">AVERAGE(AV2:AV26)</f>
        <v>31.3784</v>
      </c>
      <c r="AW27" s="54" t="n">
        <f aca="false">AVERAGE(AW2:AW26)</f>
        <v>30.3496</v>
      </c>
      <c r="AX27" s="54" t="n">
        <f aca="false">AVERAGE(AX2:AX26)</f>
        <v>28.292</v>
      </c>
      <c r="AY27" s="54" t="n">
        <f aca="false">AVERAGE(AY2:AY26)</f>
        <v>26.2344</v>
      </c>
      <c r="AZ27" s="54" t="n">
        <f aca="false">AVERAGE(AZ2:AZ26)</f>
        <v>26.2344</v>
      </c>
      <c r="BA27" s="54" t="n">
        <f aca="false">AVERAGE(BA2:BA26)</f>
        <v>36.008</v>
      </c>
      <c r="BB27" s="54" t="n">
        <f aca="false">AVERAGE(BB2:BB26)</f>
        <v>36.008</v>
      </c>
      <c r="BC27" s="54" t="n">
        <f aca="false">AVERAGE(BC2:BC26)</f>
        <v>36.8653333333333</v>
      </c>
      <c r="BD27" s="54" t="n">
        <f aca="false">AVERAGE(BD2:BD26)</f>
        <v>48.868</v>
      </c>
      <c r="BE27" s="54" t="n">
        <f aca="false">AVERAGE(BE2:BE26)</f>
        <v>46.296</v>
      </c>
      <c r="BF27" s="54" t="n">
        <f aca="false">AVERAGE(BF2:BF26)</f>
        <v>38.58</v>
      </c>
      <c r="BG27" s="54" t="n">
        <f aca="false">AVERAGE(BG2:BG26)</f>
        <v>36.008</v>
      </c>
      <c r="BH27" s="54" t="n">
        <f aca="false">AVERAGE(BH2:BH26)</f>
        <v>37.294</v>
      </c>
      <c r="BI27" s="54" t="n">
        <f aca="false">AVERAGE(BI2:BI26)</f>
        <v>42.438</v>
      </c>
      <c r="BJ27" s="54" t="n">
        <f aca="false">AVERAGE(BJ2:BJ26)</f>
        <v>47.582</v>
      </c>
      <c r="BK27" s="54" t="n">
        <f aca="false">AVERAGE(BK2:BK26)</f>
        <v>48.868</v>
      </c>
      <c r="BL27" s="54" t="n">
        <f aca="false">AVERAGE(BL2:BL26)</f>
        <v>46.296</v>
      </c>
      <c r="BM27" s="54" t="n">
        <f aca="false">AVERAGE(BM2:BM26)</f>
        <v>45.01</v>
      </c>
      <c r="BN27" s="54" t="n">
        <f aca="false">AVERAGE(BN2:BN26)</f>
        <v>46.296</v>
      </c>
      <c r="BO27" s="54" t="n">
        <f aca="false">AVERAGE(BO2:BO26)</f>
        <v>36.008</v>
      </c>
      <c r="BP27" s="54" t="n">
        <f aca="false">AVERAGE(BP2:BP26)</f>
        <v>33.436</v>
      </c>
      <c r="BQ27" s="54" t="n">
        <f aca="false">AVERAGE(BQ2:BQ26)</f>
        <v>23.148</v>
      </c>
      <c r="BR27" s="54" t="n">
        <f aca="false">AVERAGE(BR2:BR26)</f>
        <v>18.004</v>
      </c>
      <c r="BS27" s="54" t="n">
        <f aca="false">AVERAGE(BS2:BS26)</f>
        <v>18.004</v>
      </c>
      <c r="BT27" s="54" t="n">
        <f aca="false">AVERAGE(BT2:BT26)</f>
        <v>18.004</v>
      </c>
      <c r="BU27" s="54" t="n">
        <f aca="false">AVERAGE(BU2:BU26)</f>
        <v>15.432</v>
      </c>
      <c r="BV27" s="54" t="n">
        <f aca="false">AVERAGE(BV2:BV26)</f>
        <v>15.432</v>
      </c>
    </row>
    <row r="28" customFormat="false" ht="12.75" hidden="false" customHeight="false" outlineLevel="0" collapsed="false">
      <c r="B28" s="55"/>
      <c r="C28" s="45"/>
      <c r="D28" s="45"/>
      <c r="E28" s="45"/>
      <c r="F28" s="45"/>
      <c r="G28" s="45"/>
      <c r="H28" s="45"/>
      <c r="I28" s="45"/>
      <c r="J28" s="45"/>
    </row>
    <row r="29" customFormat="false" ht="12.75" hidden="false" customHeight="false" outlineLevel="0" collapsed="false">
      <c r="B29" s="55"/>
      <c r="C29" s="45"/>
      <c r="D29" s="45"/>
      <c r="E29" s="45"/>
      <c r="F29" s="45"/>
      <c r="G29" s="45"/>
      <c r="H29" s="45"/>
      <c r="I29" s="45"/>
      <c r="J29" s="45"/>
    </row>
    <row r="30" customFormat="false" ht="12.75" hidden="false" customHeight="false" outlineLevel="0" collapsed="false">
      <c r="B30" s="55"/>
      <c r="C30" s="45"/>
      <c r="D30" s="45"/>
      <c r="E30" s="45"/>
      <c r="F30" s="45"/>
      <c r="G30" s="45"/>
      <c r="H30" s="45"/>
      <c r="I30" s="45"/>
      <c r="J30" s="45"/>
    </row>
    <row r="31" customFormat="false" ht="15" hidden="false" customHeight="false" outlineLevel="0" collapsed="false">
      <c r="A31" s="43" t="s">
        <v>166</v>
      </c>
      <c r="B31" s="56" t="s">
        <v>29</v>
      </c>
      <c r="C31" s="45"/>
      <c r="D31" s="45"/>
      <c r="E31" s="45"/>
      <c r="F31" s="45"/>
      <c r="G31" s="57" t="n">
        <v>1010</v>
      </c>
      <c r="H31" s="57" t="n">
        <v>1009</v>
      </c>
      <c r="I31" s="57" t="n">
        <v>1008</v>
      </c>
      <c r="J31" s="57" t="n">
        <v>1006</v>
      </c>
      <c r="K31" s="58" t="n">
        <v>1005</v>
      </c>
      <c r="L31" s="58" t="n">
        <v>1000</v>
      </c>
      <c r="M31" s="58" t="n">
        <v>995</v>
      </c>
      <c r="N31" s="58" t="n">
        <v>990</v>
      </c>
      <c r="O31" s="58" t="n">
        <v>985</v>
      </c>
      <c r="P31" s="58" t="n">
        <v>980</v>
      </c>
      <c r="Q31" s="58" t="n">
        <v>975</v>
      </c>
      <c r="R31" s="58" t="n">
        <v>965</v>
      </c>
      <c r="S31" s="58" t="n">
        <v>950</v>
      </c>
      <c r="T31" s="58" t="n">
        <v>948</v>
      </c>
      <c r="U31" s="58" t="n">
        <v>945</v>
      </c>
      <c r="V31" s="58" t="n">
        <v>930</v>
      </c>
      <c r="W31" s="58" t="n">
        <v>911</v>
      </c>
      <c r="X31" s="58" t="n">
        <v>916</v>
      </c>
      <c r="Y31" s="58" t="n">
        <v>932</v>
      </c>
      <c r="Z31" s="58" t="n">
        <v>940</v>
      </c>
      <c r="AA31" s="58" t="n">
        <v>945</v>
      </c>
      <c r="AB31" s="58" t="n">
        <v>955</v>
      </c>
      <c r="AC31" s="58" t="n">
        <v>955</v>
      </c>
      <c r="AD31" s="58" t="n">
        <v>955</v>
      </c>
      <c r="AE31" s="58" t="n">
        <v>945</v>
      </c>
      <c r="AF31" s="58" t="n">
        <v>935</v>
      </c>
      <c r="AG31" s="58" t="n">
        <v>910</v>
      </c>
      <c r="AH31" s="58" t="n">
        <v>899</v>
      </c>
      <c r="AI31" s="58" t="n">
        <v>920</v>
      </c>
      <c r="AJ31" s="58" t="n">
        <v>945</v>
      </c>
      <c r="AK31" s="58" t="n">
        <v>960</v>
      </c>
      <c r="AL31" s="58" t="n">
        <v>940</v>
      </c>
      <c r="AM31" s="58" t="n">
        <v>912</v>
      </c>
      <c r="AN31" s="58" t="n">
        <v>909</v>
      </c>
      <c r="AO31" s="58" t="n">
        <v>916</v>
      </c>
      <c r="AP31" s="58" t="n">
        <v>925</v>
      </c>
      <c r="AQ31" s="58" t="n">
        <v>935</v>
      </c>
      <c r="AR31" s="58" t="n">
        <v>945</v>
      </c>
      <c r="AS31" s="58" t="n">
        <v>960</v>
      </c>
      <c r="AT31" s="58" t="n">
        <v>970</v>
      </c>
      <c r="AU31" s="58" t="n">
        <v>990</v>
      </c>
      <c r="AV31" s="58" t="n">
        <v>1000</v>
      </c>
      <c r="AW31" s="58" t="n">
        <v>1005</v>
      </c>
      <c r="AX31" s="58" t="n">
        <v>1008</v>
      </c>
      <c r="AY31" s="58"/>
      <c r="AZ31" s="58"/>
      <c r="BA31" s="58"/>
    </row>
    <row r="32" customFormat="false" ht="15" hidden="false" customHeight="false" outlineLevel="0" collapsed="false">
      <c r="A32" s="43"/>
      <c r="B32" s="59" t="s">
        <v>113</v>
      </c>
      <c r="C32" s="45"/>
      <c r="D32" s="45"/>
      <c r="E32" s="45" t="n">
        <v>1009</v>
      </c>
      <c r="F32" s="45" t="n">
        <v>1006</v>
      </c>
      <c r="G32" s="57" t="n">
        <v>1005</v>
      </c>
      <c r="H32" s="57" t="n">
        <v>1004</v>
      </c>
      <c r="I32" s="57" t="n">
        <v>1002</v>
      </c>
      <c r="J32" s="57" t="n">
        <v>998</v>
      </c>
      <c r="K32" s="58" t="n">
        <v>991</v>
      </c>
      <c r="L32" s="58" t="n">
        <v>987</v>
      </c>
      <c r="M32" s="58" t="n">
        <v>983</v>
      </c>
      <c r="N32" s="58" t="n">
        <v>974</v>
      </c>
      <c r="O32" s="58" t="n">
        <v>969</v>
      </c>
      <c r="P32" s="58" t="n">
        <v>963</v>
      </c>
      <c r="Q32" s="58" t="n">
        <v>962</v>
      </c>
      <c r="R32" s="58" t="n">
        <v>965</v>
      </c>
      <c r="S32" s="58" t="n">
        <v>990</v>
      </c>
      <c r="T32" s="58" t="n">
        <v>998</v>
      </c>
      <c r="U32" s="58" t="n">
        <v>1003</v>
      </c>
      <c r="V32" s="58" t="n">
        <v>1006</v>
      </c>
      <c r="W32" s="58" t="n">
        <v>1009</v>
      </c>
      <c r="X32" s="58" t="n">
        <v>1010</v>
      </c>
      <c r="Y32" s="58" t="n">
        <v>1011</v>
      </c>
      <c r="Z32" s="58" t="n">
        <v>1011</v>
      </c>
      <c r="AA32" s="58" t="n">
        <v>1011</v>
      </c>
      <c r="AB32" s="58" t="n">
        <v>1010</v>
      </c>
      <c r="AC32" s="58" t="n">
        <v>1010</v>
      </c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</row>
    <row r="33" customFormat="false" ht="15" hidden="false" customHeight="false" outlineLevel="0" collapsed="false">
      <c r="A33" s="43"/>
      <c r="B33" s="59" t="s">
        <v>115</v>
      </c>
      <c r="C33" s="45"/>
      <c r="D33" s="45"/>
      <c r="E33" s="45"/>
      <c r="F33" s="45" t="n">
        <v>1014</v>
      </c>
      <c r="G33" s="57" t="n">
        <v>1013</v>
      </c>
      <c r="H33" s="57" t="n">
        <v>1014</v>
      </c>
      <c r="I33" s="57" t="n">
        <v>1011</v>
      </c>
      <c r="J33" s="57" t="n">
        <v>1006</v>
      </c>
      <c r="K33" s="58" t="n">
        <v>1001</v>
      </c>
      <c r="L33" s="58" t="n">
        <v>1002</v>
      </c>
      <c r="M33" s="58" t="n">
        <v>997</v>
      </c>
      <c r="N33" s="58" t="n">
        <v>1001</v>
      </c>
      <c r="O33" s="58" t="n">
        <v>999</v>
      </c>
      <c r="P33" s="58" t="n">
        <v>995</v>
      </c>
      <c r="Q33" s="58" t="n">
        <v>990</v>
      </c>
      <c r="R33" s="58" t="n">
        <v>992</v>
      </c>
      <c r="S33" s="58" t="n">
        <v>1000</v>
      </c>
      <c r="T33" s="58" t="n">
        <v>1009</v>
      </c>
      <c r="U33" s="58" t="n">
        <v>1015</v>
      </c>
      <c r="V33" s="58" t="n">
        <v>1016</v>
      </c>
      <c r="W33" s="58" t="n">
        <v>1016</v>
      </c>
      <c r="X33" s="58" t="n">
        <v>1014</v>
      </c>
      <c r="Y33" s="58" t="n">
        <v>1013</v>
      </c>
      <c r="Z33" s="58" t="n">
        <v>1012</v>
      </c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</row>
    <row r="34" customFormat="false" ht="15" hidden="false" customHeight="false" outlineLevel="0" collapsed="false">
      <c r="A34" s="43"/>
      <c r="B34" s="59" t="s">
        <v>117</v>
      </c>
      <c r="C34" s="45"/>
      <c r="D34" s="45"/>
      <c r="E34" s="45" t="n">
        <v>1011</v>
      </c>
      <c r="F34" s="45" t="n">
        <v>1010</v>
      </c>
      <c r="G34" s="57" t="n">
        <v>1009</v>
      </c>
      <c r="H34" s="57" t="n">
        <v>1004</v>
      </c>
      <c r="I34" s="57" t="n">
        <v>995</v>
      </c>
      <c r="J34" s="57" t="n">
        <v>993</v>
      </c>
      <c r="K34" s="58" t="n">
        <v>991</v>
      </c>
      <c r="L34" s="58" t="n">
        <v>987</v>
      </c>
      <c r="M34" s="58" t="n">
        <v>984</v>
      </c>
      <c r="N34" s="58" t="n">
        <v>986</v>
      </c>
      <c r="O34" s="58" t="n">
        <v>993</v>
      </c>
      <c r="P34" s="58" t="n">
        <v>1000</v>
      </c>
      <c r="Q34" s="58" t="n">
        <v>1004</v>
      </c>
      <c r="R34" s="58" t="n">
        <v>1007</v>
      </c>
      <c r="S34" s="58" t="n">
        <v>1008</v>
      </c>
      <c r="T34" s="58" t="n">
        <v>1009</v>
      </c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</row>
    <row r="35" customFormat="false" ht="15" hidden="false" customHeight="false" outlineLevel="0" collapsed="false">
      <c r="A35" s="43"/>
      <c r="B35" s="59" t="s">
        <v>119</v>
      </c>
      <c r="C35" s="45"/>
      <c r="D35" s="45"/>
      <c r="E35" s="45" t="n">
        <v>1009</v>
      </c>
      <c r="F35" s="45" t="n">
        <v>1006</v>
      </c>
      <c r="G35" s="57" t="n">
        <v>1004</v>
      </c>
      <c r="H35" s="57" t="n">
        <v>1001</v>
      </c>
      <c r="I35" s="57" t="n">
        <v>997</v>
      </c>
      <c r="J35" s="57" t="n">
        <v>995</v>
      </c>
      <c r="K35" s="58" t="n">
        <v>991</v>
      </c>
      <c r="L35" s="58" t="n">
        <v>992</v>
      </c>
      <c r="M35" s="58" t="n">
        <v>992</v>
      </c>
      <c r="N35" s="58" t="n">
        <v>994</v>
      </c>
      <c r="O35" s="58" t="n">
        <v>994</v>
      </c>
      <c r="P35" s="58" t="n">
        <v>994</v>
      </c>
      <c r="Q35" s="58" t="n">
        <v>991</v>
      </c>
      <c r="R35" s="58" t="n">
        <v>986</v>
      </c>
      <c r="S35" s="58" t="n">
        <v>982</v>
      </c>
      <c r="T35" s="58" t="n">
        <v>983</v>
      </c>
      <c r="U35" s="58" t="n">
        <v>983</v>
      </c>
      <c r="V35" s="58" t="n">
        <v>991</v>
      </c>
      <c r="W35" s="58" t="n">
        <v>1000</v>
      </c>
      <c r="X35" s="58" t="n">
        <v>1009</v>
      </c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</row>
    <row r="36" customFormat="false" ht="15" hidden="false" customHeight="false" outlineLevel="0" collapsed="false">
      <c r="A36" s="43"/>
      <c r="B36" s="59" t="s">
        <v>31</v>
      </c>
      <c r="C36" s="45"/>
      <c r="D36" s="45"/>
      <c r="E36" s="45"/>
      <c r="F36" s="45" t="n">
        <v>1010</v>
      </c>
      <c r="G36" s="57" t="n">
        <v>1008</v>
      </c>
      <c r="H36" s="57" t="n">
        <v>1008</v>
      </c>
      <c r="I36" s="57" t="n">
        <v>1008</v>
      </c>
      <c r="J36" s="57" t="n">
        <v>1005</v>
      </c>
      <c r="K36" s="58" t="n">
        <v>1000</v>
      </c>
      <c r="L36" s="58" t="n">
        <v>998</v>
      </c>
      <c r="M36" s="58" t="n">
        <v>993</v>
      </c>
      <c r="N36" s="58" t="n">
        <v>991</v>
      </c>
      <c r="O36" s="58" t="n">
        <v>983</v>
      </c>
      <c r="P36" s="58" t="n">
        <v>980</v>
      </c>
      <c r="Q36" s="58" t="n">
        <v>979</v>
      </c>
      <c r="R36" s="58" t="n">
        <v>975</v>
      </c>
      <c r="S36" s="58" t="n">
        <v>954</v>
      </c>
      <c r="T36" s="58" t="n">
        <v>950</v>
      </c>
      <c r="U36" s="58" t="n">
        <v>944</v>
      </c>
      <c r="V36" s="58" t="n">
        <v>946</v>
      </c>
      <c r="W36" s="58" t="n">
        <v>951</v>
      </c>
      <c r="X36" s="58" t="n">
        <v>963</v>
      </c>
      <c r="Y36" s="58" t="n">
        <v>980</v>
      </c>
      <c r="Z36" s="58" t="n">
        <v>993</v>
      </c>
      <c r="AA36" s="58" t="n">
        <v>1000</v>
      </c>
      <c r="AB36" s="58" t="n">
        <v>1003</v>
      </c>
      <c r="AC36" s="58" t="n">
        <v>1006</v>
      </c>
      <c r="AD36" s="58" t="n">
        <v>1007</v>
      </c>
      <c r="AE36" s="58" t="n">
        <v>1008</v>
      </c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</row>
    <row r="37" customFormat="false" ht="15" hidden="false" customHeight="false" outlineLevel="0" collapsed="false">
      <c r="A37" s="43"/>
      <c r="B37" s="59" t="s">
        <v>48</v>
      </c>
      <c r="C37" s="45" t="n">
        <v>1010</v>
      </c>
      <c r="D37" s="45" t="n">
        <v>1010</v>
      </c>
      <c r="E37" s="45" t="n">
        <v>1010</v>
      </c>
      <c r="F37" s="45" t="n">
        <v>1010</v>
      </c>
      <c r="G37" s="57" t="n">
        <v>1009</v>
      </c>
      <c r="H37" s="57" t="n">
        <v>1009</v>
      </c>
      <c r="I37" s="57" t="n">
        <v>1009</v>
      </c>
      <c r="J37" s="57" t="n">
        <v>1006</v>
      </c>
      <c r="K37" s="58" t="n">
        <v>1001</v>
      </c>
      <c r="L37" s="58" t="n">
        <v>1003</v>
      </c>
      <c r="M37" s="58" t="n">
        <v>1004</v>
      </c>
      <c r="N37" s="58" t="n">
        <v>1002</v>
      </c>
      <c r="O37" s="58" t="n">
        <v>1002</v>
      </c>
      <c r="P37" s="58" t="n">
        <v>998</v>
      </c>
      <c r="Q37" s="58" t="n">
        <v>988</v>
      </c>
      <c r="R37" s="58" t="n">
        <v>1003</v>
      </c>
      <c r="S37" s="58" t="n">
        <v>1010</v>
      </c>
      <c r="T37" s="58" t="n">
        <v>1009</v>
      </c>
      <c r="U37" s="58" t="n">
        <v>1009</v>
      </c>
      <c r="V37" s="58" t="n">
        <v>1009</v>
      </c>
      <c r="W37" s="58" t="n">
        <v>1009</v>
      </c>
      <c r="X37" s="58" t="n">
        <v>1008</v>
      </c>
      <c r="Y37" s="58" t="n">
        <v>1007</v>
      </c>
      <c r="Z37" s="58" t="n">
        <v>1006</v>
      </c>
      <c r="AA37" s="58" t="n">
        <v>1008</v>
      </c>
      <c r="AB37" s="58" t="n">
        <v>1003</v>
      </c>
      <c r="AC37" s="58" t="n">
        <v>1005</v>
      </c>
      <c r="AD37" s="58" t="n">
        <v>999</v>
      </c>
      <c r="AE37" s="58" t="n">
        <v>995</v>
      </c>
      <c r="AF37" s="58" t="n">
        <v>991</v>
      </c>
      <c r="AG37" s="58" t="n">
        <v>993</v>
      </c>
      <c r="AH37" s="58" t="n">
        <v>991</v>
      </c>
      <c r="AI37" s="58" t="n">
        <v>989</v>
      </c>
      <c r="AJ37" s="58" t="n">
        <v>988</v>
      </c>
      <c r="AK37" s="58" t="n">
        <v>987</v>
      </c>
      <c r="AL37" s="58" t="n">
        <v>982</v>
      </c>
      <c r="AM37" s="58" t="n">
        <v>979</v>
      </c>
      <c r="AN37" s="58" t="n">
        <v>984</v>
      </c>
      <c r="AO37" s="58" t="n">
        <v>995</v>
      </c>
      <c r="AP37" s="58" t="n">
        <v>999</v>
      </c>
      <c r="AQ37" s="58" t="n">
        <v>1003</v>
      </c>
      <c r="AR37" s="58" t="n">
        <v>1007</v>
      </c>
      <c r="AS37" s="58" t="n">
        <v>1014</v>
      </c>
      <c r="AT37" s="58" t="n">
        <v>1016</v>
      </c>
      <c r="AU37" s="58" t="n">
        <v>1016</v>
      </c>
      <c r="AV37" s="58"/>
      <c r="AW37" s="58"/>
      <c r="AX37" s="58"/>
      <c r="AY37" s="58"/>
      <c r="AZ37" s="58"/>
      <c r="BA37" s="58"/>
    </row>
    <row r="38" customFormat="false" ht="15" hidden="false" customHeight="false" outlineLevel="0" collapsed="false">
      <c r="A38" s="43"/>
      <c r="B38" s="59" t="s">
        <v>43</v>
      </c>
      <c r="C38" s="45" t="n">
        <v>1009</v>
      </c>
      <c r="D38" s="45" t="n">
        <v>1009</v>
      </c>
      <c r="E38" s="45" t="n">
        <v>1007</v>
      </c>
      <c r="F38" s="45" t="n">
        <v>1005</v>
      </c>
      <c r="G38" s="57" t="n">
        <v>1002</v>
      </c>
      <c r="H38" s="57" t="n">
        <v>999</v>
      </c>
      <c r="I38" s="57" t="n">
        <v>997</v>
      </c>
      <c r="J38" s="57" t="n">
        <v>994</v>
      </c>
      <c r="K38" s="58" t="n">
        <v>992</v>
      </c>
      <c r="L38" s="58" t="n">
        <v>990</v>
      </c>
      <c r="M38" s="58" t="n">
        <v>985</v>
      </c>
      <c r="N38" s="58" t="n">
        <v>975</v>
      </c>
      <c r="O38" s="58" t="n">
        <v>967</v>
      </c>
      <c r="P38" s="58" t="n">
        <v>955</v>
      </c>
      <c r="Q38" s="58" t="n">
        <v>941</v>
      </c>
      <c r="R38" s="58" t="n">
        <v>920</v>
      </c>
      <c r="S38" s="58" t="n">
        <v>897</v>
      </c>
      <c r="T38" s="58" t="n">
        <v>895</v>
      </c>
      <c r="U38" s="58" t="n">
        <v>897</v>
      </c>
      <c r="V38" s="58" t="n">
        <v>908</v>
      </c>
      <c r="W38" s="58" t="n">
        <v>913</v>
      </c>
      <c r="X38" s="58" t="n">
        <v>915</v>
      </c>
      <c r="Y38" s="58" t="n">
        <v>924</v>
      </c>
      <c r="Z38" s="58" t="n">
        <v>927</v>
      </c>
      <c r="AA38" s="58" t="n">
        <v>930</v>
      </c>
      <c r="AB38" s="58" t="n">
        <v>931</v>
      </c>
      <c r="AC38" s="58" t="n">
        <v>935</v>
      </c>
      <c r="AD38" s="58" t="n">
        <v>937</v>
      </c>
      <c r="AE38" s="58" t="n">
        <v>949</v>
      </c>
      <c r="AF38" s="58" t="n">
        <v>974</v>
      </c>
      <c r="AG38" s="58" t="n">
        <v>982</v>
      </c>
      <c r="AH38" s="58" t="n">
        <v>989</v>
      </c>
      <c r="AI38" s="58" t="n">
        <v>995</v>
      </c>
      <c r="AJ38" s="58" t="n">
        <v>1000</v>
      </c>
      <c r="AK38" s="58" t="n">
        <v>1003</v>
      </c>
      <c r="AL38" s="58" t="n">
        <v>1006</v>
      </c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</row>
    <row r="39" customFormat="false" ht="15" hidden="false" customHeight="false" outlineLevel="0" collapsed="false">
      <c r="A39" s="43"/>
      <c r="B39" s="59" t="s">
        <v>50</v>
      </c>
      <c r="C39" s="45" t="n">
        <v>1009</v>
      </c>
      <c r="D39" s="45" t="n">
        <v>1006</v>
      </c>
      <c r="E39" s="45" t="n">
        <v>1001</v>
      </c>
      <c r="F39" s="45" t="n">
        <v>997</v>
      </c>
      <c r="G39" s="57" t="n">
        <v>985</v>
      </c>
      <c r="H39" s="57" t="n">
        <v>985</v>
      </c>
      <c r="I39" s="57" t="n">
        <v>989</v>
      </c>
      <c r="J39" s="57" t="n">
        <v>1000</v>
      </c>
      <c r="K39" s="58" t="n">
        <v>1006</v>
      </c>
      <c r="L39" s="58" t="n">
        <v>1009</v>
      </c>
      <c r="M39" s="58" t="n">
        <v>1012</v>
      </c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</row>
    <row r="40" customFormat="false" ht="15" hidden="false" customHeight="false" outlineLevel="0" collapsed="false">
      <c r="A40" s="43"/>
      <c r="B40" s="59" t="s">
        <v>52</v>
      </c>
      <c r="C40" s="45"/>
      <c r="D40" s="45"/>
      <c r="E40" s="45" t="n">
        <v>1008</v>
      </c>
      <c r="F40" s="45" t="n">
        <v>1008</v>
      </c>
      <c r="G40" s="57" t="n">
        <v>1007</v>
      </c>
      <c r="H40" s="57" t="n">
        <v>1007</v>
      </c>
      <c r="I40" s="57" t="n">
        <v>1007</v>
      </c>
      <c r="J40" s="57" t="n">
        <v>1005</v>
      </c>
      <c r="K40" s="58" t="n">
        <v>1005</v>
      </c>
      <c r="L40" s="58" t="n">
        <v>1000</v>
      </c>
      <c r="M40" s="58" t="n">
        <v>999</v>
      </c>
      <c r="N40" s="58" t="n">
        <v>993</v>
      </c>
      <c r="O40" s="58" t="n">
        <v>990</v>
      </c>
      <c r="P40" s="58" t="n">
        <v>982</v>
      </c>
      <c r="Q40" s="58" t="n">
        <v>982</v>
      </c>
      <c r="R40" s="58" t="n">
        <v>967</v>
      </c>
      <c r="S40" s="58" t="n">
        <v>963</v>
      </c>
      <c r="T40" s="58" t="n">
        <v>967</v>
      </c>
      <c r="U40" s="58" t="n">
        <v>967</v>
      </c>
      <c r="V40" s="58" t="n">
        <v>967</v>
      </c>
      <c r="W40" s="58" t="n">
        <v>976</v>
      </c>
      <c r="X40" s="58" t="n">
        <v>986</v>
      </c>
      <c r="Y40" s="58" t="n">
        <v>992</v>
      </c>
      <c r="Z40" s="58" t="n">
        <v>995</v>
      </c>
      <c r="AA40" s="58" t="n">
        <v>1000</v>
      </c>
      <c r="AB40" s="58" t="n">
        <v>1004</v>
      </c>
      <c r="AC40" s="58" t="n">
        <v>1008</v>
      </c>
      <c r="AD40" s="58" t="n">
        <v>1009</v>
      </c>
      <c r="AE40" s="58" t="n">
        <v>1012</v>
      </c>
      <c r="AF40" s="58" t="n">
        <v>1011</v>
      </c>
      <c r="AG40" s="58" t="n">
        <v>1010</v>
      </c>
      <c r="AH40" s="58" t="n">
        <v>1014</v>
      </c>
      <c r="AI40" s="58" t="n">
        <v>1016</v>
      </c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</row>
    <row r="41" customFormat="false" ht="15" hidden="false" customHeight="false" outlineLevel="0" collapsed="false">
      <c r="A41" s="43"/>
      <c r="B41" s="60" t="s">
        <v>54</v>
      </c>
      <c r="C41" s="51"/>
      <c r="D41" s="51" t="n">
        <v>1006</v>
      </c>
      <c r="E41" s="51" t="n">
        <v>1005</v>
      </c>
      <c r="F41" s="51" t="n">
        <v>1003</v>
      </c>
      <c r="G41" s="61" t="n">
        <v>1002</v>
      </c>
      <c r="H41" s="61" t="n">
        <v>1000</v>
      </c>
      <c r="I41" s="61" t="n">
        <v>999</v>
      </c>
      <c r="J41" s="61" t="n">
        <v>996</v>
      </c>
      <c r="K41" s="62" t="n">
        <v>994</v>
      </c>
      <c r="L41" s="62" t="n">
        <v>992</v>
      </c>
      <c r="M41" s="62" t="n">
        <v>989</v>
      </c>
      <c r="N41" s="62" t="n">
        <v>979</v>
      </c>
      <c r="O41" s="62" t="n">
        <v>956</v>
      </c>
      <c r="P41" s="62" t="n">
        <v>935</v>
      </c>
      <c r="Q41" s="62" t="n">
        <v>937</v>
      </c>
      <c r="R41" s="62" t="n">
        <v>940</v>
      </c>
      <c r="S41" s="62" t="n">
        <v>944</v>
      </c>
      <c r="T41" s="62" t="n">
        <v>949</v>
      </c>
      <c r="U41" s="62" t="n">
        <v>954</v>
      </c>
      <c r="V41" s="62" t="n">
        <v>959</v>
      </c>
      <c r="W41" s="62" t="n">
        <v>962</v>
      </c>
      <c r="X41" s="62" t="n">
        <v>964</v>
      </c>
      <c r="Y41" s="62" t="n">
        <v>965</v>
      </c>
      <c r="Z41" s="62" t="n">
        <v>950</v>
      </c>
      <c r="AA41" s="62" t="n">
        <v>947</v>
      </c>
      <c r="AB41" s="62" t="n">
        <v>947</v>
      </c>
      <c r="AC41" s="62" t="n">
        <v>947</v>
      </c>
      <c r="AD41" s="62" t="n">
        <v>947</v>
      </c>
      <c r="AE41" s="62" t="n">
        <v>946</v>
      </c>
      <c r="AF41" s="62" t="n">
        <v>945</v>
      </c>
      <c r="AG41" s="62" t="n">
        <v>945</v>
      </c>
      <c r="AH41" s="62" t="n">
        <v>950</v>
      </c>
      <c r="AI41" s="62" t="n">
        <v>960</v>
      </c>
      <c r="AJ41" s="62" t="n">
        <v>964</v>
      </c>
      <c r="AK41" s="62" t="n">
        <v>965</v>
      </c>
      <c r="AL41" s="62" t="n">
        <v>965</v>
      </c>
      <c r="AM41" s="62" t="n">
        <v>965</v>
      </c>
      <c r="AN41" s="62" t="n">
        <v>965</v>
      </c>
      <c r="AO41" s="62" t="n">
        <v>966</v>
      </c>
      <c r="AP41" s="62" t="n">
        <v>968</v>
      </c>
      <c r="AQ41" s="62" t="n">
        <v>964</v>
      </c>
      <c r="AR41" s="62" t="n">
        <v>959</v>
      </c>
      <c r="AS41" s="62" t="n">
        <v>958</v>
      </c>
      <c r="AT41" s="62" t="n">
        <v>944</v>
      </c>
      <c r="AU41" s="62" t="n">
        <v>945</v>
      </c>
      <c r="AV41" s="62" t="n">
        <v>946</v>
      </c>
      <c r="AW41" s="62" t="n">
        <v>952</v>
      </c>
      <c r="AX41" s="62" t="n">
        <v>954</v>
      </c>
      <c r="AY41" s="62" t="n">
        <v>954</v>
      </c>
      <c r="AZ41" s="62" t="n">
        <v>954</v>
      </c>
      <c r="BA41" s="62" t="n">
        <v>954</v>
      </c>
      <c r="BB41" s="52" t="n">
        <v>952</v>
      </c>
      <c r="BC41" s="52" t="n">
        <v>951</v>
      </c>
      <c r="BD41" s="52" t="n">
        <v>950</v>
      </c>
      <c r="BE41" s="52" t="n">
        <v>959</v>
      </c>
      <c r="BF41" s="52" t="n">
        <v>974</v>
      </c>
      <c r="BG41" s="52" t="n">
        <v>980</v>
      </c>
      <c r="BH41" s="52" t="n">
        <v>985</v>
      </c>
      <c r="BI41" s="52" t="n">
        <v>987</v>
      </c>
      <c r="BJ41" s="52" t="n">
        <v>988</v>
      </c>
      <c r="BK41" s="52" t="n">
        <v>988</v>
      </c>
      <c r="BL41" s="52" t="n">
        <v>986</v>
      </c>
      <c r="BM41" s="52" t="n">
        <v>986</v>
      </c>
    </row>
    <row r="42" customFormat="false" ht="63" hidden="false" customHeight="false" outlineLevel="0" collapsed="false">
      <c r="A42" s="43"/>
      <c r="B42" s="53" t="s">
        <v>167</v>
      </c>
      <c r="C42" s="63" t="n">
        <f aca="false">AVERAGE(C37:C39)</f>
        <v>1009.33333333333</v>
      </c>
      <c r="D42" s="63" t="n">
        <f aca="false">AVERAGE(D37:D41)</f>
        <v>1007.75</v>
      </c>
      <c r="E42" s="63" t="n">
        <f aca="false">AVERAGE(E31:E41)</f>
        <v>1007.5</v>
      </c>
      <c r="F42" s="63" t="n">
        <f aca="false">AVERAGE(F31:F41)</f>
        <v>1006.9</v>
      </c>
      <c r="G42" s="63" t="n">
        <f aca="false">AVERAGE(G31:G41)</f>
        <v>1004.90909090909</v>
      </c>
      <c r="H42" s="63" t="n">
        <f aca="false">AVERAGE(H31:H41)</f>
        <v>1003.63636363636</v>
      </c>
      <c r="I42" s="63" t="n">
        <f aca="false">AVERAGE(I31:I41)</f>
        <v>1002</v>
      </c>
      <c r="J42" s="63" t="n">
        <f aca="false">AVERAGE(J31:J41)</f>
        <v>1000.36363636364</v>
      </c>
      <c r="K42" s="63" t="n">
        <f aca="false">AVERAGE(K31:K41)</f>
        <v>997.909090909091</v>
      </c>
      <c r="L42" s="63" t="n">
        <f aca="false">AVERAGE(L31:L41)</f>
        <v>996.363636363636</v>
      </c>
      <c r="M42" s="63" t="n">
        <f aca="false">AVERAGE(M31:M41)</f>
        <v>993.909090909091</v>
      </c>
      <c r="N42" s="63" t="n">
        <f aca="false">AVERAGE(N31:N41)</f>
        <v>988.5</v>
      </c>
      <c r="O42" s="63" t="n">
        <f aca="false">AVERAGE(O31:O41)</f>
        <v>983.8</v>
      </c>
      <c r="P42" s="63" t="n">
        <f aca="false">AVERAGE(P31:P41)</f>
        <v>978.2</v>
      </c>
      <c r="Q42" s="63" t="n">
        <f aca="false">AVERAGE(Q31:Q41)</f>
        <v>974.9</v>
      </c>
      <c r="R42" s="63" t="n">
        <f aca="false">AVERAGE(R31:R41)</f>
        <v>972</v>
      </c>
      <c r="S42" s="63" t="n">
        <f aca="false">AVERAGE(S31:S41)</f>
        <v>969.8</v>
      </c>
      <c r="T42" s="63" t="n">
        <f aca="false">AVERAGE(T31:T41)</f>
        <v>971.7</v>
      </c>
      <c r="U42" s="63" t="n">
        <f aca="false">AVERAGE(U31:U41)</f>
        <v>968.555555555556</v>
      </c>
      <c r="V42" s="63" t="n">
        <f aca="false">AVERAGE(V31:V41)</f>
        <v>970.222222222222</v>
      </c>
      <c r="W42" s="63" t="n">
        <f aca="false">AVERAGE(W31:W41)</f>
        <v>971.888888888889</v>
      </c>
      <c r="X42" s="63" t="n">
        <f aca="false">AVERAGE(X31:X41)</f>
        <v>976.111111111111</v>
      </c>
      <c r="Y42" s="63" t="n">
        <f aca="false">AVERAGE(Y31:Y41)</f>
        <v>978</v>
      </c>
      <c r="Z42" s="63" t="n">
        <f aca="false">AVERAGE(Z31:Z41)</f>
        <v>979.25</v>
      </c>
      <c r="AA42" s="63" t="n">
        <f aca="false">AVERAGE(AA31:AA41)</f>
        <v>977.285714285714</v>
      </c>
      <c r="AB42" s="63" t="n">
        <f aca="false">AVERAGE(AB31:AB41)</f>
        <v>979</v>
      </c>
      <c r="AC42" s="63" t="n">
        <f aca="false">AVERAGE(AC31:AC41)</f>
        <v>980.857142857143</v>
      </c>
      <c r="AD42" s="63" t="n">
        <f aca="false">AVERAGE(AD31:AD41)</f>
        <v>975.666666666667</v>
      </c>
      <c r="AE42" s="63" t="n">
        <f aca="false">AVERAGE(AE31:AE41)</f>
        <v>975.833333333333</v>
      </c>
      <c r="AF42" s="63" t="n">
        <f aca="false">AVERAGE(AF31:AF41)</f>
        <v>971.2</v>
      </c>
      <c r="AG42" s="63" t="n">
        <f aca="false">AVERAGE(AG31:AG41)</f>
        <v>968</v>
      </c>
      <c r="AH42" s="63" t="n">
        <f aca="false">AVERAGE(AH31:AH41)</f>
        <v>968.6</v>
      </c>
      <c r="AI42" s="63" t="n">
        <f aca="false">AVERAGE(AI31:AI41)</f>
        <v>976</v>
      </c>
      <c r="AJ42" s="63" t="n">
        <f aca="false">AVERAGE(AJ31:AJ41)</f>
        <v>974.25</v>
      </c>
      <c r="AK42" s="63" t="n">
        <f aca="false">AVERAGE(AK31:AK41)</f>
        <v>978.75</v>
      </c>
      <c r="AL42" s="63" t="n">
        <f aca="false">AVERAGE(AL31:AL41)</f>
        <v>973.25</v>
      </c>
      <c r="AM42" s="63" t="n">
        <f aca="false">AVERAGE(AM31:AM41)</f>
        <v>952</v>
      </c>
      <c r="AN42" s="63" t="n">
        <f aca="false">AVERAGE(AN31:AN41)</f>
        <v>952.666666666667</v>
      </c>
      <c r="AO42" s="63" t="n">
        <f aca="false">AVERAGE(AO31:AO41)</f>
        <v>959</v>
      </c>
      <c r="AP42" s="63" t="n">
        <f aca="false">AVERAGE(AP31:AP41)</f>
        <v>964</v>
      </c>
      <c r="AQ42" s="63" t="n">
        <f aca="false">AVERAGE(AQ31:AQ41)</f>
        <v>967.333333333333</v>
      </c>
      <c r="AR42" s="63" t="n">
        <f aca="false">AVERAGE(AR31:AR41)</f>
        <v>970.333333333333</v>
      </c>
      <c r="AS42" s="63" t="n">
        <f aca="false">AVERAGE(AS31:AS41)</f>
        <v>977.333333333333</v>
      </c>
      <c r="AT42" s="63" t="n">
        <f aca="false">AVERAGE(AT31:AT41)</f>
        <v>976.666666666667</v>
      </c>
      <c r="AU42" s="63" t="n">
        <f aca="false">AVERAGE(AU31:AU41)</f>
        <v>983.666666666667</v>
      </c>
      <c r="AV42" s="63" t="n">
        <f aca="false">AVERAGE(AV31:AV41)</f>
        <v>973</v>
      </c>
      <c r="AW42" s="63" t="n">
        <f aca="false">AVERAGE(AW31:AW41)</f>
        <v>978.5</v>
      </c>
      <c r="AX42" s="63" t="n">
        <f aca="false">AVERAGE(AX31:AX41)</f>
        <v>981</v>
      </c>
      <c r="AY42" s="63" t="n">
        <f aca="false">AVERAGE(AY31:AY41)</f>
        <v>954</v>
      </c>
      <c r="AZ42" s="63" t="n">
        <f aca="false">AVERAGE(AZ31:AZ41)</f>
        <v>954</v>
      </c>
      <c r="BA42" s="63" t="n">
        <f aca="false">AVERAGE(BA31:BA41)</f>
        <v>954</v>
      </c>
      <c r="BB42" s="63" t="n">
        <f aca="false">AVERAGE(BB31:BB41)</f>
        <v>952</v>
      </c>
      <c r="BC42" s="63" t="n">
        <f aca="false">AVERAGE(BC31:BC41)</f>
        <v>951</v>
      </c>
      <c r="BD42" s="63" t="n">
        <f aca="false">AVERAGE(BD31:BD41)</f>
        <v>950</v>
      </c>
      <c r="BE42" s="63" t="n">
        <f aca="false">AVERAGE(BE31:BE41)</f>
        <v>959</v>
      </c>
      <c r="BF42" s="63" t="n">
        <f aca="false">AVERAGE(BF31:BF41)</f>
        <v>974</v>
      </c>
      <c r="BG42" s="63" t="n">
        <f aca="false">AVERAGE(BG31:BG41)</f>
        <v>980</v>
      </c>
      <c r="BH42" s="63" t="n">
        <f aca="false">AVERAGE(BH31:BH41)</f>
        <v>985</v>
      </c>
      <c r="BI42" s="63" t="n">
        <f aca="false">AVERAGE(BI31:BI41)</f>
        <v>987</v>
      </c>
      <c r="BJ42" s="63" t="n">
        <f aca="false">AVERAGE(BJ31:BJ41)</f>
        <v>988</v>
      </c>
      <c r="BK42" s="63" t="n">
        <f aca="false">AVERAGE(BK31:BK41)</f>
        <v>988</v>
      </c>
      <c r="BL42" s="63" t="n">
        <f aca="false">AVERAGE(BL31:BL41)</f>
        <v>986</v>
      </c>
      <c r="BM42" s="63" t="n">
        <f aca="false">AVERAGE(BM31:BM41)</f>
        <v>986</v>
      </c>
      <c r="BN42" s="64"/>
      <c r="BO42" s="64"/>
      <c r="BP42" s="64"/>
      <c r="BQ42" s="64"/>
      <c r="BR42" s="64"/>
      <c r="BS42" s="64"/>
      <c r="BT42" s="64"/>
      <c r="BU42" s="64"/>
      <c r="BV42" s="64"/>
    </row>
  </sheetData>
  <mergeCells count="2">
    <mergeCell ref="A2:A27"/>
    <mergeCell ref="A31:A42"/>
  </mergeCells>
  <printOptions headings="false" gridLines="false" gridLinesSet="true" horizontalCentered="false" verticalCentered="false"/>
  <pageMargins left="0.7875" right="0.7875" top="1.02430555555556" bottom="1.02430555555556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66"/>
  <sheetViews>
    <sheetView windowProtection="false" showFormulas="false" showGridLines="true" showRowColHeaders="true" showZeros="true" rightToLeft="false" tabSelected="false" showOutlineSymbols="true" defaultGridColor="true" view="normal" topLeftCell="A5" colorId="64" zoomScale="110" zoomScaleNormal="110" zoomScalePageLayoutView="100" workbookViewId="0">
      <selection pane="topLeft" activeCell="T78" activeCellId="0" sqref="T78"/>
    </sheetView>
  </sheetViews>
  <sheetFormatPr defaultRowHeight="12.75"/>
  <cols>
    <col collapsed="false" hidden="false" max="1025" min="1" style="0" width="11.530612244898"/>
  </cols>
  <sheetData>
    <row r="166" customFormat="false" ht="12.75" hidden="false" customHeight="false" outlineLevel="0" collapsed="false">
      <c r="B166" s="0" t="s">
        <v>168</v>
      </c>
    </row>
  </sheetData>
  <printOptions headings="false" gridLines="false" gridLinesSet="true" horizontalCentered="false" verticalCentered="false"/>
  <pageMargins left="0.7875" right="0.7875" top="1.02430555555556" bottom="1.02430555555556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LibreOffice/4.2.8.2$Linux_X86_64 LibreOffice_project/420$Build-2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2015-06-10T10:37:00Z</dcterms:created>
  <dc:creator>dell-1</dc:creator>
  <dc:language>en-US</dc:language>
  <dcterms:modified xsi:type="dcterms:W3CDTF">2015-07-16T02:49:39Z</dcterms:modified>
  <cp:revision>0</cp:revision>
</cp:coreProperties>
</file>